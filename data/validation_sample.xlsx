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s\tissue-orders-data-cleaning\data\"/>
    </mc:Choice>
  </mc:AlternateContent>
  <xr:revisionPtr revIDLastSave="0" documentId="13_ncr:1_{3626107E-EF52-41E1-9D29-6454AB2A4AA5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W16" i="1" l="1"/>
  <c r="W1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  <c r="W8" i="1"/>
  <c r="W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</calcChain>
</file>

<file path=xl/sharedStrings.xml><?xml version="1.0" encoding="utf-8"?>
<sst xmlns="http://schemas.openxmlformats.org/spreadsheetml/2006/main" count="3616" uniqueCount="967">
  <si>
    <t>record_id</t>
  </si>
  <si>
    <t>times_in_raw</t>
  </si>
  <si>
    <t>order_date_raw</t>
  </si>
  <si>
    <t>order_date_clean</t>
  </si>
  <si>
    <t>product_name_raw</t>
  </si>
  <si>
    <t>product_name_clean</t>
  </si>
  <si>
    <t>batch_number_raw</t>
  </si>
  <si>
    <t>batch_number_clean</t>
  </si>
  <si>
    <t>quantity_raw</t>
  </si>
  <si>
    <t>quantity_clean</t>
  </si>
  <si>
    <t>unit_price_raw</t>
  </si>
  <si>
    <t>unit_price_clean</t>
  </si>
  <si>
    <t>customer_name_raw</t>
  </si>
  <si>
    <t>customer_name_clean</t>
  </si>
  <si>
    <t>region_raw</t>
  </si>
  <si>
    <t>region_clean</t>
  </si>
  <si>
    <t>status_raw</t>
  </si>
  <si>
    <t>status_clean</t>
  </si>
  <si>
    <t>needs_review</t>
  </si>
  <si>
    <t>my_check</t>
  </si>
  <si>
    <t>R02768</t>
  </si>
  <si>
    <t>R06839</t>
  </si>
  <si>
    <t>R02684</t>
  </si>
  <si>
    <t>R06037</t>
  </si>
  <si>
    <t>R03850</t>
  </si>
  <si>
    <t>R04920</t>
  </si>
  <si>
    <t>R03953</t>
  </si>
  <si>
    <t>R02265</t>
  </si>
  <si>
    <t>R07270</t>
  </si>
  <si>
    <t>R02039</t>
  </si>
  <si>
    <t>R00051</t>
  </si>
  <si>
    <t>R04841</t>
  </si>
  <si>
    <t>R04968</t>
  </si>
  <si>
    <t>R01750</t>
  </si>
  <si>
    <t>R01450</t>
  </si>
  <si>
    <t>R01689</t>
  </si>
  <si>
    <t>R04597</t>
  </si>
  <si>
    <t>R05016</t>
  </si>
  <si>
    <t>R06753</t>
  </si>
  <si>
    <t>R04173</t>
  </si>
  <si>
    <t>R00734</t>
  </si>
  <si>
    <t>R05997</t>
  </si>
  <si>
    <t>R04601</t>
  </si>
  <si>
    <t>R04887</t>
  </si>
  <si>
    <t>R01340</t>
  </si>
  <si>
    <t>R05101</t>
  </si>
  <si>
    <t>R02105</t>
  </si>
  <si>
    <t>R03210</t>
  </si>
  <si>
    <t>R03571</t>
  </si>
  <si>
    <t>R05038</t>
  </si>
  <si>
    <t>R05613</t>
  </si>
  <si>
    <t>R00616</t>
  </si>
  <si>
    <t>R04822</t>
  </si>
  <si>
    <t>R00257</t>
  </si>
  <si>
    <t>R01210</t>
  </si>
  <si>
    <t>R03924</t>
  </si>
  <si>
    <t>R00967</t>
  </si>
  <si>
    <t>R02576</t>
  </si>
  <si>
    <t>R06728</t>
  </si>
  <si>
    <t>R04004</t>
  </si>
  <si>
    <t>R04806</t>
  </si>
  <si>
    <t>R02627</t>
  </si>
  <si>
    <t>R01514</t>
  </si>
  <si>
    <t>R03350</t>
  </si>
  <si>
    <t>R04983</t>
  </si>
  <si>
    <t>R00779</t>
  </si>
  <si>
    <t>R06475</t>
  </si>
  <si>
    <t>R00568</t>
  </si>
  <si>
    <t>R04550</t>
  </si>
  <si>
    <t>R05908</t>
  </si>
  <si>
    <t>R06290</t>
  </si>
  <si>
    <t>R03174</t>
  </si>
  <si>
    <t>R01442</t>
  </si>
  <si>
    <t>R05783</t>
  </si>
  <si>
    <t>R07712</t>
  </si>
  <si>
    <t>R06118</t>
  </si>
  <si>
    <t>R06156</t>
  </si>
  <si>
    <t>R00727</t>
  </si>
  <si>
    <t>R03865</t>
  </si>
  <si>
    <t>R05486</t>
  </si>
  <si>
    <t>R00137</t>
  </si>
  <si>
    <t>R04194</t>
  </si>
  <si>
    <t>R07472</t>
  </si>
  <si>
    <t>R06937</t>
  </si>
  <si>
    <t>R03453</t>
  </si>
  <si>
    <t>R02027</t>
  </si>
  <si>
    <t>R07234</t>
  </si>
  <si>
    <t>R07190</t>
  </si>
  <si>
    <t>R00957</t>
  </si>
  <si>
    <t>R02515</t>
  </si>
  <si>
    <t>R03721</t>
  </si>
  <si>
    <t>R05737</t>
  </si>
  <si>
    <t>R05188</t>
  </si>
  <si>
    <t>R04676</t>
  </si>
  <si>
    <t>R03851</t>
  </si>
  <si>
    <t>R04721</t>
  </si>
  <si>
    <t>R01931</t>
  </si>
  <si>
    <t>R06124</t>
  </si>
  <si>
    <t>R05598</t>
  </si>
  <si>
    <t>R05342</t>
  </si>
  <si>
    <t>R02257</t>
  </si>
  <si>
    <t>R04087</t>
  </si>
  <si>
    <t>R06801</t>
  </si>
  <si>
    <t>R03840</t>
  </si>
  <si>
    <t>R04050</t>
  </si>
  <si>
    <t>R05840</t>
  </si>
  <si>
    <t>R00909</t>
  </si>
  <si>
    <t>R04972</t>
  </si>
  <si>
    <t>R06804</t>
  </si>
  <si>
    <t>R05249</t>
  </si>
  <si>
    <t>R05670</t>
  </si>
  <si>
    <t>R00610</t>
  </si>
  <si>
    <t>R01649</t>
  </si>
  <si>
    <t>R03410</t>
  </si>
  <si>
    <t>R00313</t>
  </si>
  <si>
    <t>R04965</t>
  </si>
  <si>
    <t>R07040</t>
  </si>
  <si>
    <t>R03260</t>
  </si>
  <si>
    <t>R07647</t>
  </si>
  <si>
    <t>R03267</t>
  </si>
  <si>
    <t>R01862</t>
  </si>
  <si>
    <t>R00942</t>
  </si>
  <si>
    <t>R07720</t>
  </si>
  <si>
    <t>R01979</t>
  </si>
  <si>
    <t>R05836</t>
  </si>
  <si>
    <t>R06065</t>
  </si>
  <si>
    <t>R02373</t>
  </si>
  <si>
    <t>R05434</t>
  </si>
  <si>
    <t>R04311</t>
  </si>
  <si>
    <t>R01497</t>
  </si>
  <si>
    <t>R02965</t>
  </si>
  <si>
    <t>R01004</t>
  </si>
  <si>
    <t>R02253</t>
  </si>
  <si>
    <t>R00608</t>
  </si>
  <si>
    <t>R05603</t>
  </si>
  <si>
    <t>R07597</t>
  </si>
  <si>
    <t>R01536</t>
  </si>
  <si>
    <t>R00965</t>
  </si>
  <si>
    <t>R03318</t>
  </si>
  <si>
    <t>R07308</t>
  </si>
  <si>
    <t>R03949</t>
  </si>
  <si>
    <t>R00697</t>
  </si>
  <si>
    <t>R05203</t>
  </si>
  <si>
    <t>R03300</t>
  </si>
  <si>
    <t>R04775</t>
  </si>
  <si>
    <t>R06575</t>
  </si>
  <si>
    <t>R01228</t>
  </si>
  <si>
    <t>R04800</t>
  </si>
  <si>
    <t>R05517</t>
  </si>
  <si>
    <t>R02803</t>
  </si>
  <si>
    <t>R04563</t>
  </si>
  <si>
    <t>R01905</t>
  </si>
  <si>
    <t>R05125</t>
  </si>
  <si>
    <t>R07478</t>
  </si>
  <si>
    <t>R03727</t>
  </si>
  <si>
    <t>R02779</t>
  </si>
  <si>
    <t>R02665</t>
  </si>
  <si>
    <t>R05525</t>
  </si>
  <si>
    <t>R01767</t>
  </si>
  <si>
    <t>R05375</t>
  </si>
  <si>
    <t>R01707</t>
  </si>
  <si>
    <t>R03770</t>
  </si>
  <si>
    <t>R07498</t>
  </si>
  <si>
    <t>R02214</t>
  </si>
  <si>
    <t>R01676</t>
  </si>
  <si>
    <t>R00224</t>
  </si>
  <si>
    <t>R01850</t>
  </si>
  <si>
    <t>R05397</t>
  </si>
  <si>
    <t>R05591</t>
  </si>
  <si>
    <t>R02015</t>
  </si>
  <si>
    <t>R03925</t>
  </si>
  <si>
    <t>R02820</t>
  </si>
  <si>
    <t>R04582</t>
  </si>
  <si>
    <t>R02318</t>
  </si>
  <si>
    <t>R07585</t>
  </si>
  <si>
    <t>R03583</t>
  </si>
  <si>
    <t>R02648</t>
  </si>
  <si>
    <t>R01418</t>
  </si>
  <si>
    <t>R02196</t>
  </si>
  <si>
    <t>R03763</t>
  </si>
  <si>
    <t>R06473</t>
  </si>
  <si>
    <t>R02218</t>
  </si>
  <si>
    <t>R02936</t>
  </si>
  <si>
    <t>R05559</t>
  </si>
  <si>
    <t>R05938</t>
  </si>
  <si>
    <t>R05149</t>
  </si>
  <si>
    <t>R00729</t>
  </si>
  <si>
    <t>R01537</t>
  </si>
  <si>
    <t>R04508</t>
  </si>
  <si>
    <t>R06469</t>
  </si>
  <si>
    <t>R07593</t>
  </si>
  <si>
    <t>R04501</t>
  </si>
  <si>
    <t>R00941</t>
  </si>
  <si>
    <t>R01733</t>
  </si>
  <si>
    <t>R03796</t>
  </si>
  <si>
    <t>R06202</t>
  </si>
  <si>
    <t>R00072</t>
  </si>
  <si>
    <t>R07146</t>
  </si>
  <si>
    <t>R01818</t>
  </si>
  <si>
    <t>R01621</t>
  </si>
  <si>
    <t>R05557</t>
  </si>
  <si>
    <t>R03519</t>
  </si>
  <si>
    <t>R07550</t>
  </si>
  <si>
    <t>R01999</t>
  </si>
  <si>
    <t>R01648</t>
  </si>
  <si>
    <t>R05380</t>
  </si>
  <si>
    <t>R04939</t>
  </si>
  <si>
    <t>R06670</t>
  </si>
  <si>
    <t>R01770</t>
  </si>
  <si>
    <t>R05039</t>
  </si>
  <si>
    <t>R06305</t>
  </si>
  <si>
    <t>R05493</t>
  </si>
  <si>
    <t>R05633</t>
  </si>
  <si>
    <t>R04754</t>
  </si>
  <si>
    <t>R06084</t>
  </si>
  <si>
    <t>R01085</t>
  </si>
  <si>
    <t>R05788</t>
  </si>
  <si>
    <t>R04741</t>
  </si>
  <si>
    <t>R01933</t>
  </si>
  <si>
    <t>24 Feb 2025</t>
  </si>
  <si>
    <t>2025-03-10</t>
  </si>
  <si>
    <t>13/06/2025</t>
  </si>
  <si>
    <t>13 Sep 2025</t>
  </si>
  <si>
    <t>31/10/2025</t>
  </si>
  <si>
    <t>2025-10-09</t>
  </si>
  <si>
    <t>14 Mar 2025</t>
  </si>
  <si>
    <t>15 Oct 2025</t>
  </si>
  <si>
    <t>13/07/2025</t>
  </si>
  <si>
    <t>2025-10-26</t>
  </si>
  <si>
    <t>15 Apr 2025</t>
  </si>
  <si>
    <t>2025-06-15</t>
  </si>
  <si>
    <t>06.03.2025</t>
  </si>
  <si>
    <t>2025-07-12</t>
  </si>
  <si>
    <t>13 Aug 2025</t>
  </si>
  <si>
    <t>18 Jan 2025</t>
  </si>
  <si>
    <t>01/09/2025</t>
  </si>
  <si>
    <t>06/08/2025</t>
  </si>
  <si>
    <t>07 Feb 2025</t>
  </si>
  <si>
    <t>2025-05-12</t>
  </si>
  <si>
    <t>20 Dec 2025</t>
  </si>
  <si>
    <t>2025-06-22</t>
  </si>
  <si>
    <t>20.12.2025</t>
  </si>
  <si>
    <t>2025-06-04</t>
  </si>
  <si>
    <t>2025-12-13</t>
  </si>
  <si>
    <t>13.03.2025</t>
  </si>
  <si>
    <t>2025-09-20</t>
  </si>
  <si>
    <t>2025-06-21</t>
  </si>
  <si>
    <t>30.09.2025</t>
  </si>
  <si>
    <t>2025-01-31</t>
  </si>
  <si>
    <t>02/11/2025</t>
  </si>
  <si>
    <t>2025-03-21</t>
  </si>
  <si>
    <t>10.02.2025</t>
  </si>
  <si>
    <t>2025-04-21</t>
  </si>
  <si>
    <t>2025-04-15</t>
  </si>
  <si>
    <t>29 Apr 2025</t>
  </si>
  <si>
    <t>21.04.2025</t>
  </si>
  <si>
    <t>18.12.2025</t>
  </si>
  <si>
    <t>20.06.2025</t>
  </si>
  <si>
    <t>27/09/2025</t>
  </si>
  <si>
    <t>22.12.2025</t>
  </si>
  <si>
    <t>12 Jan 2025</t>
  </si>
  <si>
    <t>13.02.2025</t>
  </si>
  <si>
    <t>11 Nov 2025</t>
  </si>
  <si>
    <t>2025-04-10</t>
  </si>
  <si>
    <t>2025-11-25</t>
  </si>
  <si>
    <t>12/08/2025</t>
  </si>
  <si>
    <t>12.12.2025</t>
  </si>
  <si>
    <t>2025-06-01</t>
  </si>
  <si>
    <t>25/04/2025</t>
  </si>
  <si>
    <t>17.10.2025</t>
  </si>
  <si>
    <t>19.10.2025</t>
  </si>
  <si>
    <t>03 Aug 2025</t>
  </si>
  <si>
    <t>2025-05-20</t>
  </si>
  <si>
    <t>16.01.2025</t>
  </si>
  <si>
    <t>07/09/2025</t>
  </si>
  <si>
    <t>16 Feb 2025</t>
  </si>
  <si>
    <t>2025-09-26</t>
  </si>
  <si>
    <t>2025-09-05</t>
  </si>
  <si>
    <t>27/01/2025</t>
  </si>
  <si>
    <t>2025-06-18</t>
  </si>
  <si>
    <t>2025-02-01</t>
  </si>
  <si>
    <t>19/09/2025</t>
  </si>
  <si>
    <t>17/09/2025</t>
  </si>
  <si>
    <t>20 Feb 2025</t>
  </si>
  <si>
    <t>17/06/2025</t>
  </si>
  <si>
    <t>2025-06-03</t>
  </si>
  <si>
    <t>02.02.2025</t>
  </si>
  <si>
    <t>05.07.2025</t>
  </si>
  <si>
    <t>18.04.2025</t>
  </si>
  <si>
    <t>2025-02-18</t>
  </si>
  <si>
    <t>2025-10-24</t>
  </si>
  <si>
    <t>07 Dec 2025</t>
  </si>
  <si>
    <t>22 Jan 2025</t>
  </si>
  <si>
    <t>28 Jan 2025</t>
  </si>
  <si>
    <t>2025-08-09</t>
  </si>
  <si>
    <t>20 Apr 2025</t>
  </si>
  <si>
    <t>05 Feb 2025</t>
  </si>
  <si>
    <t>07.12.2025</t>
  </si>
  <si>
    <t>17 Dec 2025</t>
  </si>
  <si>
    <t>22.06.2025</t>
  </si>
  <si>
    <t>2025-09-23</t>
  </si>
  <si>
    <t>19 Jun 2025</t>
  </si>
  <si>
    <t>01 Sep 2025</t>
  </si>
  <si>
    <t>13/02/2025</t>
  </si>
  <si>
    <t>18 Aug 2025</t>
  </si>
  <si>
    <t>09.12.2025</t>
  </si>
  <si>
    <t>24.05.2025</t>
  </si>
  <si>
    <t>14 Aug 2025</t>
  </si>
  <si>
    <t>2025-03-19</t>
  </si>
  <si>
    <t>21 Apr 2025</t>
  </si>
  <si>
    <t>27/12/2025</t>
  </si>
  <si>
    <t>24 Nov 2025</t>
  </si>
  <si>
    <t>19.01.2025</t>
  </si>
  <si>
    <t>19.06.2025</t>
  </si>
  <si>
    <t>2025-11-19</t>
  </si>
  <si>
    <t>18 May 2025</t>
  </si>
  <si>
    <t>16/01/2025</t>
  </si>
  <si>
    <t>17 Jul 2025</t>
  </si>
  <si>
    <t>24.06.2025</t>
  </si>
  <si>
    <t>2025-07-25</t>
  </si>
  <si>
    <t>11.05.2025</t>
  </si>
  <si>
    <t>12 Aug 2025</t>
  </si>
  <si>
    <t>2025-11-05</t>
  </si>
  <si>
    <t>17 Mar 2025</t>
  </si>
  <si>
    <t>2025-12-06</t>
  </si>
  <si>
    <t>20/01/2025</t>
  </si>
  <si>
    <t>10/08/2025</t>
  </si>
  <si>
    <t>01.09.2025</t>
  </si>
  <si>
    <t>01 Mar 2025</t>
  </si>
  <si>
    <t>05/01/2025</t>
  </si>
  <si>
    <t>29 Dec 2025</t>
  </si>
  <si>
    <t>2025-12-17</t>
  </si>
  <si>
    <t>01 Jul 2025</t>
  </si>
  <si>
    <t>2025-06-17</t>
  </si>
  <si>
    <t>03.10.2025</t>
  </si>
  <si>
    <t>2025-04-22</t>
  </si>
  <si>
    <t>07/05/2025</t>
  </si>
  <si>
    <t>2025-08-03</t>
  </si>
  <si>
    <t>11/02/2025</t>
  </si>
  <si>
    <t>26 May 2025</t>
  </si>
  <si>
    <t>05.06.2025</t>
  </si>
  <si>
    <t>18/07/2025</t>
  </si>
  <si>
    <t>08/10/2025</t>
  </si>
  <si>
    <t>2025-07-23</t>
  </si>
  <si>
    <t>27/06/2025</t>
  </si>
  <si>
    <t>15/07/2025</t>
  </si>
  <si>
    <t>03 Sep 2025</t>
  </si>
  <si>
    <t>23/01/2025</t>
  </si>
  <si>
    <t>15.10.2025</t>
  </si>
  <si>
    <t>20/08/2025</t>
  </si>
  <si>
    <t>2025-03-07</t>
  </si>
  <si>
    <t>12.10.2025</t>
  </si>
  <si>
    <t>2025-04-19</t>
  </si>
  <si>
    <t>02.06.2025</t>
  </si>
  <si>
    <t>20 Jul 2025</t>
  </si>
  <si>
    <t>27.05.2025</t>
  </si>
  <si>
    <t>14/06/2025</t>
  </si>
  <si>
    <t>19 Dec 2025</t>
  </si>
  <si>
    <t>16 Mar 2025</t>
  </si>
  <si>
    <t>24 Jun 2025</t>
  </si>
  <si>
    <t>17.02.2025</t>
  </si>
  <si>
    <t>13 Oct 2025</t>
  </si>
  <si>
    <t>13 Mar 2025</t>
  </si>
  <si>
    <t>25/09/2025</t>
  </si>
  <si>
    <t>15 Jan 2025</t>
  </si>
  <si>
    <t>25/05/2025</t>
  </si>
  <si>
    <t>2025-01-06</t>
  </si>
  <si>
    <t>16.06.2025</t>
  </si>
  <si>
    <t>18 Jul 2025</t>
  </si>
  <si>
    <t>16/04/2025</t>
  </si>
  <si>
    <t>2025-08-17</t>
  </si>
  <si>
    <t>08 Sep 2025</t>
  </si>
  <si>
    <t>25.03.2025</t>
  </si>
  <si>
    <t>2025-09-29</t>
  </si>
  <si>
    <t>2025-09-11</t>
  </si>
  <si>
    <t>2025-08-06</t>
  </si>
  <si>
    <t>31/03/2025</t>
  </si>
  <si>
    <t>03/10/2025</t>
  </si>
  <si>
    <t>23.01.2025</t>
  </si>
  <si>
    <t>30/11/2025</t>
  </si>
  <si>
    <t>2025-06-13</t>
  </si>
  <si>
    <t>07/12/2025</t>
  </si>
  <si>
    <t>01/06/2025</t>
  </si>
  <si>
    <t>23/05/2025</t>
  </si>
  <si>
    <t>12.03.2025</t>
  </si>
  <si>
    <t>30.10.2025</t>
  </si>
  <si>
    <t>2025-03-29</t>
  </si>
  <si>
    <t>07 May 2025</t>
  </si>
  <si>
    <t>29.08.2025</t>
  </si>
  <si>
    <t>04 Feb 2025</t>
  </si>
  <si>
    <t>20 Aug 2025</t>
  </si>
  <si>
    <t>23 Dec 2025</t>
  </si>
  <si>
    <t>06/05/2025</t>
  </si>
  <si>
    <t>26.01.2025</t>
  </si>
  <si>
    <t>27.02.2025</t>
  </si>
  <si>
    <t>14/08/2025</t>
  </si>
  <si>
    <t>2025-10-16</t>
  </si>
  <si>
    <t>02 Dec 2025</t>
  </si>
  <si>
    <t>04.12.2025</t>
  </si>
  <si>
    <t>10 May 2025</t>
  </si>
  <si>
    <t>2025-06-09</t>
  </si>
  <si>
    <t>03.05.2025</t>
  </si>
  <si>
    <t>2025-08-30</t>
  </si>
  <si>
    <t>2025-02-24</t>
  </si>
  <si>
    <t>2025-09-13</t>
  </si>
  <si>
    <t>2025-10-31</t>
  </si>
  <si>
    <t>2025-03-14</t>
  </si>
  <si>
    <t>2025-10-15</t>
  </si>
  <si>
    <t>2025-07-13</t>
  </si>
  <si>
    <t>2025-03-06</t>
  </si>
  <si>
    <t>2025-08-13</t>
  </si>
  <si>
    <t>2025-01-18</t>
  </si>
  <si>
    <t>2025-09-01</t>
  </si>
  <si>
    <t>2025-02-07</t>
  </si>
  <si>
    <t>2025-12-20</t>
  </si>
  <si>
    <t>2025-03-13</t>
  </si>
  <si>
    <t>2025-09-30</t>
  </si>
  <si>
    <t>2025-11-02</t>
  </si>
  <si>
    <t>2025-02-10</t>
  </si>
  <si>
    <t>2025-04-29</t>
  </si>
  <si>
    <t>2025-12-18</t>
  </si>
  <si>
    <t>2025-06-20</t>
  </si>
  <si>
    <t>2025-09-27</t>
  </si>
  <si>
    <t>2025-12-22</t>
  </si>
  <si>
    <t>2025-01-12</t>
  </si>
  <si>
    <t>2025-02-13</t>
  </si>
  <si>
    <t>2025-11-11</t>
  </si>
  <si>
    <t>2025-08-12</t>
  </si>
  <si>
    <t>2025-12-12</t>
  </si>
  <si>
    <t>2025-04-25</t>
  </si>
  <si>
    <t>2025-10-17</t>
  </si>
  <si>
    <t>2025-10-19</t>
  </si>
  <si>
    <t>2025-01-16</t>
  </si>
  <si>
    <t>2025-09-07</t>
  </si>
  <si>
    <t>2025-02-16</t>
  </si>
  <si>
    <t>2025-01-27</t>
  </si>
  <si>
    <t>2025-09-19</t>
  </si>
  <si>
    <t>2025-09-17</t>
  </si>
  <si>
    <t>2025-02-20</t>
  </si>
  <si>
    <t>2025-02-02</t>
  </si>
  <si>
    <t>2025-07-05</t>
  </si>
  <si>
    <t>2025-04-18</t>
  </si>
  <si>
    <t>2025-12-07</t>
  </si>
  <si>
    <t>2025-01-22</t>
  </si>
  <si>
    <t>2025-01-28</t>
  </si>
  <si>
    <t>2025-04-20</t>
  </si>
  <si>
    <t>2025-02-05</t>
  </si>
  <si>
    <t>2025-06-19</t>
  </si>
  <si>
    <t>2025-08-18</t>
  </si>
  <si>
    <t>2025-12-09</t>
  </si>
  <si>
    <t>2025-05-24</t>
  </si>
  <si>
    <t>2025-08-14</t>
  </si>
  <si>
    <t>2025-12-27</t>
  </si>
  <si>
    <t>2025-11-24</t>
  </si>
  <si>
    <t>2025-01-19</t>
  </si>
  <si>
    <t>2025-05-18</t>
  </si>
  <si>
    <t>2025-07-17</t>
  </si>
  <si>
    <t>2025-06-24</t>
  </si>
  <si>
    <t>2025-05-11</t>
  </si>
  <si>
    <t>2025-03-17</t>
  </si>
  <si>
    <t>2025-01-20</t>
  </si>
  <si>
    <t>2025-08-10</t>
  </si>
  <si>
    <t>2025-03-01</t>
  </si>
  <si>
    <t>2025-01-05</t>
  </si>
  <si>
    <t>2025-12-29</t>
  </si>
  <si>
    <t>2025-07-01</t>
  </si>
  <si>
    <t>2025-10-03</t>
  </si>
  <si>
    <t>2025-05-07</t>
  </si>
  <si>
    <t>2025-02-11</t>
  </si>
  <si>
    <t>2025-05-26</t>
  </si>
  <si>
    <t>2025-06-05</t>
  </si>
  <si>
    <t>2025-07-18</t>
  </si>
  <si>
    <t>2025-10-08</t>
  </si>
  <si>
    <t>2025-06-27</t>
  </si>
  <si>
    <t>2025-07-15</t>
  </si>
  <si>
    <t>2025-09-03</t>
  </si>
  <si>
    <t>2025-01-23</t>
  </si>
  <si>
    <t>2025-08-20</t>
  </si>
  <si>
    <t>2025-10-12</t>
  </si>
  <si>
    <t>2025-06-02</t>
  </si>
  <si>
    <t>2025-07-20</t>
  </si>
  <si>
    <t>2025-05-27</t>
  </si>
  <si>
    <t>2025-06-14</t>
  </si>
  <si>
    <t>2025-12-19</t>
  </si>
  <si>
    <t>2025-03-16</t>
  </si>
  <si>
    <t>2025-02-17</t>
  </si>
  <si>
    <t>2025-10-13</t>
  </si>
  <si>
    <t>2025-09-25</t>
  </si>
  <si>
    <t>2025-01-15</t>
  </si>
  <si>
    <t>2025-05-25</t>
  </si>
  <si>
    <t>2025-06-16</t>
  </si>
  <si>
    <t>2025-04-16</t>
  </si>
  <si>
    <t>2025-09-08</t>
  </si>
  <si>
    <t>2025-03-25</t>
  </si>
  <si>
    <t>2025-03-31</t>
  </si>
  <si>
    <t>2025-11-30</t>
  </si>
  <si>
    <t>2025-05-23</t>
  </si>
  <si>
    <t>2025-03-12</t>
  </si>
  <si>
    <t>2025-10-30</t>
  </si>
  <si>
    <t>2025-08-29</t>
  </si>
  <si>
    <t>2025-02-04</t>
  </si>
  <si>
    <t>2025-12-23</t>
  </si>
  <si>
    <t>2025-05-06</t>
  </si>
  <si>
    <t>2025-01-26</t>
  </si>
  <si>
    <t>2025-02-27</t>
  </si>
  <si>
    <t>2025-12-02</t>
  </si>
  <si>
    <t>2025-12-04</t>
  </si>
  <si>
    <t>2025-05-10</t>
  </si>
  <si>
    <t>2025-05-03</t>
  </si>
  <si>
    <t>Facial Tissue Large (200)</t>
  </si>
  <si>
    <t>Pocket Tissue Pack (10)</t>
  </si>
  <si>
    <t>Napkins (50)</t>
  </si>
  <si>
    <t>Toilet Roll (9 pack)</t>
  </si>
  <si>
    <t>Kitchen Roll (2 pack)</t>
  </si>
  <si>
    <t>Soft Tissue Box (100)</t>
  </si>
  <si>
    <t>B1905</t>
  </si>
  <si>
    <t>B1315</t>
  </si>
  <si>
    <t>B1882</t>
  </si>
  <si>
    <t>B1659</t>
  </si>
  <si>
    <t>B1292</t>
  </si>
  <si>
    <t>B1877</t>
  </si>
  <si>
    <t>B1304</t>
  </si>
  <si>
    <t>B1554</t>
  </si>
  <si>
    <t>B1318</t>
  </si>
  <si>
    <t>B1001</t>
  </si>
  <si>
    <t>B1685</t>
  </si>
  <si>
    <t>B1980</t>
  </si>
  <si>
    <t>B1895</t>
  </si>
  <si>
    <t>B1794</t>
  </si>
  <si>
    <t>B1237</t>
  </si>
  <si>
    <t>B1943</t>
  </si>
  <si>
    <t>B1610</t>
  </si>
  <si>
    <t>B1090</t>
  </si>
  <si>
    <t>B1019</t>
  </si>
  <si>
    <t>B1871</t>
  </si>
  <si>
    <t>B1548</t>
  </si>
  <si>
    <t>B1503</t>
  </si>
  <si>
    <t>B1027</t>
  </si>
  <si>
    <t>B1516</t>
  </si>
  <si>
    <t>B1720</t>
  </si>
  <si>
    <t>B1914</t>
  </si>
  <si>
    <t>B1174</t>
  </si>
  <si>
    <t>B1054</t>
  </si>
  <si>
    <t>B1025</t>
  </si>
  <si>
    <t>B1934</t>
  </si>
  <si>
    <t>B1224</t>
  </si>
  <si>
    <t>B1290</t>
  </si>
  <si>
    <t>B1405</t>
  </si>
  <si>
    <t>B1950</t>
  </si>
  <si>
    <t>B1017</t>
  </si>
  <si>
    <t>B1544</t>
  </si>
  <si>
    <t>B1677</t>
  </si>
  <si>
    <t>B1105</t>
  </si>
  <si>
    <t>B1557</t>
  </si>
  <si>
    <t>B1936</t>
  </si>
  <si>
    <t>B1825</t>
  </si>
  <si>
    <t>B1348</t>
  </si>
  <si>
    <t>B1441</t>
  </si>
  <si>
    <t>B1730</t>
  </si>
  <si>
    <t>B1301</t>
  </si>
  <si>
    <t>B1702</t>
  </si>
  <si>
    <t>B1747</t>
  </si>
  <si>
    <t>B1663</t>
  </si>
  <si>
    <t>B1527</t>
  </si>
  <si>
    <t>B1624</t>
  </si>
  <si>
    <t>B1849</t>
  </si>
  <si>
    <t>B1071</t>
  </si>
  <si>
    <t>B1485</t>
  </si>
  <si>
    <t>B1818</t>
  </si>
  <si>
    <t>B1798</t>
  </si>
  <si>
    <t>B1491</t>
  </si>
  <si>
    <t>B1047</t>
  </si>
  <si>
    <t>B1258</t>
  </si>
  <si>
    <t>B1826</t>
  </si>
  <si>
    <t>B1753</t>
  </si>
  <si>
    <t>B1824</t>
  </si>
  <si>
    <t>B1050</t>
  </si>
  <si>
    <t>B1865</t>
  </si>
  <si>
    <t>B1387</t>
  </si>
  <si>
    <t>B1674</t>
  </si>
  <si>
    <t>B1552</t>
  </si>
  <si>
    <t>B1993</t>
  </si>
  <si>
    <t>B1169</t>
  </si>
  <si>
    <t>B1037</t>
  </si>
  <si>
    <t>B1096</t>
  </si>
  <si>
    <t>B1155</t>
  </si>
  <si>
    <t>B1189</t>
  </si>
  <si>
    <t>B1484</t>
  </si>
  <si>
    <t>B1941</t>
  </si>
  <si>
    <t>B1182</t>
  </si>
  <si>
    <t>B1256</t>
  </si>
  <si>
    <t>B1209</t>
  </si>
  <si>
    <t>B1021</t>
  </si>
  <si>
    <t>B1375</t>
  </si>
  <si>
    <t>B1511</t>
  </si>
  <si>
    <t>B1032</t>
  </si>
  <si>
    <t>B1565</t>
  </si>
  <si>
    <t>B1165</t>
  </si>
  <si>
    <t>B1480</t>
  </si>
  <si>
    <t>B1500</t>
  </si>
  <si>
    <t>B1966</t>
  </si>
  <si>
    <t>B1456</t>
  </si>
  <si>
    <t>B1362</t>
  </si>
  <si>
    <t>B1916</t>
  </si>
  <si>
    <t>B1807</t>
  </si>
  <si>
    <t>B1721</t>
  </si>
  <si>
    <t>B1341</t>
  </si>
  <si>
    <t>B1490</t>
  </si>
  <si>
    <t>B1745</t>
  </si>
  <si>
    <t>B1970</t>
  </si>
  <si>
    <t>B1856</t>
  </si>
  <si>
    <t>B1581</t>
  </si>
  <si>
    <t>B1563</t>
  </si>
  <si>
    <t>B1106</t>
  </si>
  <si>
    <t>B1891</t>
  </si>
  <si>
    <t>B1872</t>
  </si>
  <si>
    <t>B1043</t>
  </si>
  <si>
    <t>B1539</t>
  </si>
  <si>
    <t>B1906</t>
  </si>
  <si>
    <t>B1841</t>
  </si>
  <si>
    <t>B1112</t>
  </si>
  <si>
    <t>B1228</t>
  </si>
  <si>
    <t>B1688</t>
  </si>
  <si>
    <t>B1059</t>
  </si>
  <si>
    <t>B1215</t>
  </si>
  <si>
    <t>B1696</t>
  </si>
  <si>
    <t>B1670</t>
  </si>
  <si>
    <t>B1475</t>
  </si>
  <si>
    <t>B1948</t>
  </si>
  <si>
    <t>B1683</t>
  </si>
  <si>
    <t>B1635</t>
  </si>
  <si>
    <t>B1898</t>
  </si>
  <si>
    <t>B1075</t>
  </si>
  <si>
    <t>B1383</t>
  </si>
  <si>
    <t>B1599</t>
  </si>
  <si>
    <t>B1512</t>
  </si>
  <si>
    <t>B1901</t>
  </si>
  <si>
    <t>B1748</t>
  </si>
  <si>
    <t>B1885</t>
  </si>
  <si>
    <t>B1672</t>
  </si>
  <si>
    <t>B1746</t>
  </si>
  <si>
    <t>B1261</t>
  </si>
  <si>
    <t>B1534</t>
  </si>
  <si>
    <t>B1995</t>
  </si>
  <si>
    <t>B1777</t>
  </si>
  <si>
    <t>B1612</t>
  </si>
  <si>
    <t>B1590</t>
  </si>
  <si>
    <t>B1622</t>
  </si>
  <si>
    <t>B1391</t>
  </si>
  <si>
    <t>B1129</t>
  </si>
  <si>
    <t>B1517</t>
  </si>
  <si>
    <t>B1270</t>
  </si>
  <si>
    <t>B1267</t>
  </si>
  <si>
    <t>B1135</t>
  </si>
  <si>
    <t>B1969</t>
  </si>
  <si>
    <t>B1167</t>
  </si>
  <si>
    <t>B1393</t>
  </si>
  <si>
    <t>B1161</t>
  </si>
  <si>
    <t>B1681</t>
  </si>
  <si>
    <t>B1487</t>
  </si>
  <si>
    <t>B1665</t>
  </si>
  <si>
    <t>B1615</t>
  </si>
  <si>
    <t>B1638</t>
  </si>
  <si>
    <t>B1652</t>
  </si>
  <si>
    <t>B1560</t>
  </si>
  <si>
    <t>B1246</t>
  </si>
  <si>
    <t>B1083</t>
  </si>
  <si>
    <t>B1317</t>
  </si>
  <si>
    <t>B1494</t>
  </si>
  <si>
    <t>B1116</t>
  </si>
  <si>
    <t>B1213</t>
  </si>
  <si>
    <t>B1857</t>
  </si>
  <si>
    <t>B1164</t>
  </si>
  <si>
    <t>B1561</t>
  </si>
  <si>
    <t>B1644</t>
  </si>
  <si>
    <t>B1997</t>
  </si>
  <si>
    <t>B1042</t>
  </si>
  <si>
    <t>B1566</t>
  </si>
  <si>
    <t>B1175</t>
  </si>
  <si>
    <t>B1048</t>
  </si>
  <si>
    <t>B1382</t>
  </si>
  <si>
    <t>B1844</t>
  </si>
  <si>
    <t>B1501</t>
  </si>
  <si>
    <t>B1750</t>
  </si>
  <si>
    <t>B1111</t>
  </si>
  <si>
    <t>B1892</t>
  </si>
  <si>
    <t>B1336</t>
  </si>
  <si>
    <t>B1178</t>
  </si>
  <si>
    <t>B1293</t>
  </si>
  <si>
    <t>B1954</t>
  </si>
  <si>
    <t>B1433</t>
  </si>
  <si>
    <t>B1850</t>
  </si>
  <si>
    <t>B1280</t>
  </si>
  <si>
    <t>10</t>
  </si>
  <si>
    <t>440</t>
  </si>
  <si>
    <t>270</t>
  </si>
  <si>
    <t>375</t>
  </si>
  <si>
    <t>69</t>
  </si>
  <si>
    <t>363</t>
  </si>
  <si>
    <t>234</t>
  </si>
  <si>
    <t>338</t>
  </si>
  <si>
    <t>192</t>
  </si>
  <si>
    <t>260</t>
  </si>
  <si>
    <t>376</t>
  </si>
  <si>
    <t>186</t>
  </si>
  <si>
    <t>275</t>
  </si>
  <si>
    <t>364</t>
  </si>
  <si>
    <t>269</t>
  </si>
  <si>
    <t>426</t>
  </si>
  <si>
    <t>258</t>
  </si>
  <si>
    <t>134</t>
  </si>
  <si>
    <t>362</t>
  </si>
  <si>
    <t>454</t>
  </si>
  <si>
    <t>254</t>
  </si>
  <si>
    <t>34</t>
  </si>
  <si>
    <t>163</t>
  </si>
  <si>
    <t>411</t>
  </si>
  <si>
    <t>421</t>
  </si>
  <si>
    <t>380</t>
  </si>
  <si>
    <t>12</t>
  </si>
  <si>
    <t>478</t>
  </si>
  <si>
    <t>238</t>
  </si>
  <si>
    <t>172</t>
  </si>
  <si>
    <t>61</t>
  </si>
  <si>
    <t>25</t>
  </si>
  <si>
    <t>16</t>
  </si>
  <si>
    <t>455</t>
  </si>
  <si>
    <t>322</t>
  </si>
  <si>
    <t>476</t>
  </si>
  <si>
    <t>207</t>
  </si>
  <si>
    <t>241</t>
  </si>
  <si>
    <t>343</t>
  </si>
  <si>
    <t>174</t>
  </si>
  <si>
    <t>475</t>
  </si>
  <si>
    <t>44</t>
  </si>
  <si>
    <t>233</t>
  </si>
  <si>
    <t>228</t>
  </si>
  <si>
    <t>197</t>
  </si>
  <si>
    <t>239</t>
  </si>
  <si>
    <t>103</t>
  </si>
  <si>
    <t>498</t>
  </si>
  <si>
    <t>224</t>
  </si>
  <si>
    <t>170</t>
  </si>
  <si>
    <t>232</t>
  </si>
  <si>
    <t>436</t>
  </si>
  <si>
    <t>320</t>
  </si>
  <si>
    <t>87</t>
  </si>
  <si>
    <t>395</t>
  </si>
  <si>
    <t>302</t>
  </si>
  <si>
    <t>271</t>
  </si>
  <si>
    <t>135</t>
  </si>
  <si>
    <t>384</t>
  </si>
  <si>
    <t>491</t>
  </si>
  <si>
    <t>60</t>
  </si>
  <si>
    <t>496</t>
  </si>
  <si>
    <t>321</t>
  </si>
  <si>
    <t>342</t>
  </si>
  <si>
    <t>51</t>
  </si>
  <si>
    <t>131</t>
  </si>
  <si>
    <t>285</t>
  </si>
  <si>
    <t>127</t>
  </si>
  <si>
    <t>120</t>
  </si>
  <si>
    <t>396</t>
  </si>
  <si>
    <t>217</t>
  </si>
  <si>
    <t>312</t>
  </si>
  <si>
    <t>109</t>
  </si>
  <si>
    <t>119</t>
  </si>
  <si>
    <t>169</t>
  </si>
  <si>
    <t>78</t>
  </si>
  <si>
    <t>19</t>
  </si>
  <si>
    <t>180</t>
  </si>
  <si>
    <t>314</t>
  </si>
  <si>
    <t>24</t>
  </si>
  <si>
    <t>185</t>
  </si>
  <si>
    <t>243</t>
  </si>
  <si>
    <t>203</t>
  </si>
  <si>
    <t>182</t>
  </si>
  <si>
    <t>452</t>
  </si>
  <si>
    <t>462</t>
  </si>
  <si>
    <t>237</t>
  </si>
  <si>
    <t>64</t>
  </si>
  <si>
    <t>499</t>
  </si>
  <si>
    <t>273</t>
  </si>
  <si>
    <t>307</t>
  </si>
  <si>
    <t>191</t>
  </si>
  <si>
    <t>89</t>
  </si>
  <si>
    <t>31</t>
  </si>
  <si>
    <t>381</t>
  </si>
  <si>
    <t>21</t>
  </si>
  <si>
    <t>295</t>
  </si>
  <si>
    <t>219</t>
  </si>
  <si>
    <t>124</t>
  </si>
  <si>
    <t>76</t>
  </si>
  <si>
    <t>32</t>
  </si>
  <si>
    <t>227</t>
  </si>
  <si>
    <t>98</t>
  </si>
  <si>
    <t>431</t>
  </si>
  <si>
    <t>36</t>
  </si>
  <si>
    <t>198</t>
  </si>
  <si>
    <t>55</t>
  </si>
  <si>
    <t>79</t>
  </si>
  <si>
    <t>299</t>
  </si>
  <si>
    <t>318</t>
  </si>
  <si>
    <t>423</t>
  </si>
  <si>
    <t>460</t>
  </si>
  <si>
    <t>116</t>
  </si>
  <si>
    <t>370</t>
  </si>
  <si>
    <t>38</t>
  </si>
  <si>
    <t>406</t>
  </si>
  <si>
    <t>418</t>
  </si>
  <si>
    <t>42</t>
  </si>
  <si>
    <t>331</t>
  </si>
  <si>
    <t>477</t>
  </si>
  <si>
    <t>328</t>
  </si>
  <si>
    <t>415</t>
  </si>
  <si>
    <t>179</t>
  </si>
  <si>
    <t>39</t>
  </si>
  <si>
    <t>85</t>
  </si>
  <si>
    <t>494</t>
  </si>
  <si>
    <t>278</t>
  </si>
  <si>
    <t>92</t>
  </si>
  <si>
    <t>402</t>
  </si>
  <si>
    <t>389</t>
  </si>
  <si>
    <t>214</t>
  </si>
  <si>
    <t>272</t>
  </si>
  <si>
    <t>450</t>
  </si>
  <si>
    <t>147</t>
  </si>
  <si>
    <t>439</t>
  </si>
  <si>
    <t>193</t>
  </si>
  <si>
    <t>345</t>
  </si>
  <si>
    <t>220</t>
  </si>
  <si>
    <t>256</t>
  </si>
  <si>
    <t>473</t>
  </si>
  <si>
    <t>309</t>
  </si>
  <si>
    <t>30</t>
  </si>
  <si>
    <t>413</t>
  </si>
  <si>
    <t>287</t>
  </si>
  <si>
    <t>392</t>
  </si>
  <si>
    <t>252</t>
  </si>
  <si>
    <t>122</t>
  </si>
  <si>
    <t>349</t>
  </si>
  <si>
    <t>267</t>
  </si>
  <si>
    <t>45</t>
  </si>
  <si>
    <t>105</t>
  </si>
  <si>
    <t>334</t>
  </si>
  <si>
    <t>355</t>
  </si>
  <si>
    <t>277</t>
  </si>
  <si>
    <t>83</t>
  </si>
  <si>
    <t>317</t>
  </si>
  <si>
    <t>438</t>
  </si>
  <si>
    <t>117</t>
  </si>
  <si>
    <t>344</t>
  </si>
  <si>
    <t>382</t>
  </si>
  <si>
    <t>466</t>
  </si>
  <si>
    <t>492</t>
  </si>
  <si>
    <t>417</t>
  </si>
  <si>
    <t>128</t>
  </si>
  <si>
    <t>2.4</t>
  </si>
  <si>
    <t>0.45</t>
  </si>
  <si>
    <t>1.1</t>
  </si>
  <si>
    <t>4.5</t>
  </si>
  <si>
    <t>2.1</t>
  </si>
  <si>
    <t>1.2</t>
  </si>
  <si>
    <t>Customer 110</t>
  </si>
  <si>
    <t>Customer 049</t>
  </si>
  <si>
    <t>Customer 115</t>
  </si>
  <si>
    <t>Customer 099</t>
  </si>
  <si>
    <t>Customer 010</t>
  </si>
  <si>
    <t>Customer 120</t>
  </si>
  <si>
    <t>Customer 112</t>
  </si>
  <si>
    <t>Customer 085</t>
  </si>
  <si>
    <t>Customer 045</t>
  </si>
  <si>
    <t>Customer 041</t>
  </si>
  <si>
    <t>Customer 118</t>
  </si>
  <si>
    <t>Customer 048</t>
  </si>
  <si>
    <t>Customer 102</t>
  </si>
  <si>
    <t>Customer 029</t>
  </si>
  <si>
    <t>Customer 047</t>
  </si>
  <si>
    <t>Customer 087</t>
  </si>
  <si>
    <t>Customer 038</t>
  </si>
  <si>
    <t>Customer 103</t>
  </si>
  <si>
    <t>Customer 104</t>
  </si>
  <si>
    <t>Customer 066</t>
  </si>
  <si>
    <t>Customer 074</t>
  </si>
  <si>
    <t>Customer 039</t>
  </si>
  <si>
    <t>Customer 054</t>
  </si>
  <si>
    <t>Customer 024</t>
  </si>
  <si>
    <t>Customer 105</t>
  </si>
  <si>
    <t>Customer 004</t>
  </si>
  <si>
    <t>Customer 069</t>
  </si>
  <si>
    <t>Customer 040</t>
  </si>
  <si>
    <t>Customer 059</t>
  </si>
  <si>
    <t>Customer 046</t>
  </si>
  <si>
    <t>Customer 025</t>
  </si>
  <si>
    <t>Customer 037</t>
  </si>
  <si>
    <t>Customer 031</t>
  </si>
  <si>
    <t>Customer 111</t>
  </si>
  <si>
    <t>Customer 020</t>
  </si>
  <si>
    <t>Customer 023</t>
  </si>
  <si>
    <t>Customer 053</t>
  </si>
  <si>
    <t>Customer 109</t>
  </si>
  <si>
    <t>Customer 056</t>
  </si>
  <si>
    <t>Customer 072</t>
  </si>
  <si>
    <t>Customer 044</t>
  </si>
  <si>
    <t>Customer 051</t>
  </si>
  <si>
    <t>Customer 018</t>
  </si>
  <si>
    <t>Customer 052</t>
  </si>
  <si>
    <t>Customer 043</t>
  </si>
  <si>
    <t>Customer 107</t>
  </si>
  <si>
    <t>Customer 089</t>
  </si>
  <si>
    <t>Customer 065</t>
  </si>
  <si>
    <t>Customer 073</t>
  </si>
  <si>
    <t>Customer 007</t>
  </si>
  <si>
    <t>Customer 067</t>
  </si>
  <si>
    <t>Customer 084</t>
  </si>
  <si>
    <t>Customer 079</t>
  </si>
  <si>
    <t>Customer 071</t>
  </si>
  <si>
    <t>Customer 096</t>
  </si>
  <si>
    <t>Customer 077</t>
  </si>
  <si>
    <t>Customer 013</t>
  </si>
  <si>
    <t>Customer 030</t>
  </si>
  <si>
    <t>Customer 100</t>
  </si>
  <si>
    <t>Customer 050</t>
  </si>
  <si>
    <t>Customer 068</t>
  </si>
  <si>
    <t>Customer 032</t>
  </si>
  <si>
    <t>Customer 061</t>
  </si>
  <si>
    <t>Customer 015</t>
  </si>
  <si>
    <t>Customer 033</t>
  </si>
  <si>
    <t>Customer 064</t>
  </si>
  <si>
    <t>Customer 116</t>
  </si>
  <si>
    <t>Customer 095</t>
  </si>
  <si>
    <t>Customer 055</t>
  </si>
  <si>
    <t>Customer 081</t>
  </si>
  <si>
    <t>Customer 035</t>
  </si>
  <si>
    <t>Customer 022</t>
  </si>
  <si>
    <t>Customer 097</t>
  </si>
  <si>
    <t>Customer 001</t>
  </si>
  <si>
    <t>Customer 062</t>
  </si>
  <si>
    <t>Customer 070</t>
  </si>
  <si>
    <t>Customer 082</t>
  </si>
  <si>
    <t>Customer 009</t>
  </si>
  <si>
    <t>Customer 036</t>
  </si>
  <si>
    <t>Customer 076</t>
  </si>
  <si>
    <t>Customer 078</t>
  </si>
  <si>
    <t>Customer 042</t>
  </si>
  <si>
    <t>Customer 060</t>
  </si>
  <si>
    <t>Customer 088</t>
  </si>
  <si>
    <t>Customer 119</t>
  </si>
  <si>
    <t>Customer 113</t>
  </si>
  <si>
    <t>Customer 058</t>
  </si>
  <si>
    <t>Customer 014</t>
  </si>
  <si>
    <t>Customer 108</t>
  </si>
  <si>
    <t>Customer 006</t>
  </si>
  <si>
    <t>Customer 114</t>
  </si>
  <si>
    <t>Customer 011</t>
  </si>
  <si>
    <t>Unknown</t>
  </si>
  <si>
    <t>North</t>
  </si>
  <si>
    <t>West</t>
  </si>
  <si>
    <t>East</t>
  </si>
  <si>
    <t>Central</t>
  </si>
  <si>
    <t>South</t>
  </si>
  <si>
    <t>Delivered</t>
  </si>
  <si>
    <t>Shipped</t>
  </si>
  <si>
    <t>Cancelled</t>
  </si>
  <si>
    <t>Pending</t>
  </si>
  <si>
    <t>0</t>
  </si>
  <si>
    <t>date_check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</si>
</sst>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activeCell="W16" sqref="W16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4.453125" bestFit="1" customWidth="1"/>
    <col min="4" max="4" width="15.6328125" bestFit="1" customWidth="1"/>
    <col min="5" max="6" width="20.90625" bestFit="1" customWidth="1"/>
    <col min="7" max="7" width="17.453125" bestFit="1" customWidth="1"/>
    <col min="8" max="8" width="18.6328125" bestFit="1" customWidth="1"/>
    <col min="9" max="9" width="11.90625" bestFit="1" customWidth="1"/>
    <col min="10" max="10" width="13.1796875" bestFit="1" customWidth="1"/>
    <col min="11" max="11" width="13.453125" bestFit="1" customWidth="1"/>
    <col min="12" max="12" width="14.6328125" bestFit="1" customWidth="1"/>
    <col min="13" max="13" width="18.7265625" bestFit="1" customWidth="1"/>
    <col min="14" max="14" width="19.90625" bestFit="1" customWidth="1"/>
    <col min="15" max="15" width="10.26953125" bestFit="1" customWidth="1"/>
    <col min="16" max="16" width="11.453125" bestFit="1" customWidth="1"/>
    <col min="17" max="17" width="10" bestFit="1" customWidth="1"/>
    <col min="18" max="18" width="11.1796875" bestFit="1" customWidth="1"/>
    <col min="19" max="19" width="12.36328125" bestFit="1" customWidth="1"/>
    <col min="20" max="20" width="9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966</v>
      </c>
    </row>
    <row r="2" spans="1:23" x14ac:dyDescent="0.35">
      <c r="A2" t="s">
        <v>20</v>
      </c>
      <c r="B2">
        <v>1</v>
      </c>
      <c r="C2" t="s">
        <v>219</v>
      </c>
      <c r="D2" t="s">
        <v>403</v>
      </c>
      <c r="E2" t="s">
        <v>509</v>
      </c>
      <c r="F2" t="s">
        <v>509</v>
      </c>
      <c r="G2" t="s">
        <v>515</v>
      </c>
      <c r="H2" t="s">
        <v>515</v>
      </c>
      <c r="I2" t="s">
        <v>693</v>
      </c>
      <c r="J2" t="s">
        <v>693</v>
      </c>
      <c r="K2" t="s">
        <v>857</v>
      </c>
      <c r="L2" t="s">
        <v>857</v>
      </c>
      <c r="M2" t="s">
        <v>863</v>
      </c>
      <c r="N2" t="s">
        <v>863</v>
      </c>
      <c r="O2" t="s">
        <v>956</v>
      </c>
      <c r="P2" t="s">
        <v>956</v>
      </c>
      <c r="Q2" t="s">
        <v>961</v>
      </c>
      <c r="R2" t="s">
        <v>961</v>
      </c>
      <c r="S2" t="s">
        <v>965</v>
      </c>
      <c r="T2" t="str">
        <f>IF(AND(E2=F2, G2=H2, Q2=R2, IF(I2="", AND(J2="", S2="1"), AND(I2=J2, S2="0")), IF(K2="", L2&lt;&gt;"", K2=L2), IF(M2="", N2="Unknown", M2=N2), IF(O2="", P2="Unknown", O2=P2)), "OK", "CHECK")</f>
        <v>OK</v>
      </c>
      <c r="U2" t="str">
        <f>IF(IF(MID(C2,5,1)="-", C2=D2, IF(OR(MID(C2,3,1)="/",MID(C2,3,1)="."), D2=MID(C2,7,4)&amp;"-"&amp;MID(C2,4,2)&amp;"-"&amp;LEFT(C2,2), D2=MID(C2,8,4)&amp;"-"&amp;TEXT(MATCH(MID(C2,4,3),{"Jan","Feb","Mar","Apr","May","Jun","Jul","Aug","Sep","Oct","Nov","Dec"},0),"00")&amp;"-"&amp;LEFT(C2,2))),"OK","CHECK")</f>
        <v>OK</v>
      </c>
    </row>
    <row r="3" spans="1:23" x14ac:dyDescent="0.35">
      <c r="A3" t="s">
        <v>21</v>
      </c>
      <c r="B3">
        <v>1</v>
      </c>
      <c r="C3" t="s">
        <v>220</v>
      </c>
      <c r="D3" t="s">
        <v>220</v>
      </c>
      <c r="E3" t="s">
        <v>510</v>
      </c>
      <c r="F3" t="s">
        <v>510</v>
      </c>
      <c r="G3" t="s">
        <v>516</v>
      </c>
      <c r="H3" t="s">
        <v>516</v>
      </c>
      <c r="I3" t="s">
        <v>694</v>
      </c>
      <c r="J3" t="s">
        <v>694</v>
      </c>
      <c r="K3" t="s">
        <v>858</v>
      </c>
      <c r="L3" t="s">
        <v>858</v>
      </c>
      <c r="M3" t="s">
        <v>864</v>
      </c>
      <c r="N3" t="s">
        <v>864</v>
      </c>
      <c r="O3" t="s">
        <v>957</v>
      </c>
      <c r="P3" t="s">
        <v>957</v>
      </c>
      <c r="Q3" t="s">
        <v>962</v>
      </c>
      <c r="R3" t="s">
        <v>962</v>
      </c>
      <c r="S3" t="s">
        <v>965</v>
      </c>
      <c r="T3" t="str">
        <f t="shared" ref="T3:T66" si="0">IF(AND(E3=F3, G3=H3, Q3=R3, IF(I3="", AND(J3="", S3="1"), AND(I3=J3, S3="0")), IF(K3="", L3&lt;&gt;"", K3=L3), IF(M3="", N3="Unknown", M3=N3), IF(O3="", P3="Unknown", O3=P3)), "OK", "CHECK")</f>
        <v>OK</v>
      </c>
      <c r="U3" t="str">
        <f>IF(IF(MID(C3,5,1)="-", C3=D3, IF(OR(MID(C3,3,1)="/",MID(C3,3,1)="."), D3=MID(C3,7,4)&amp;"-"&amp;MID(C3,4,2)&amp;"-"&amp;LEFT(C3,2), D3=MID(C3,8,4)&amp;"-"&amp;TEXT(MATCH(MID(C3,4,3),{"Jan","Feb","Mar","Apr","May","Jun","Jul","Aug","Sep","Oct","Nov","Dec"},0),"00")&amp;"-"&amp;LEFT(C3,2))),"OK","CHECK")</f>
        <v>OK</v>
      </c>
    </row>
    <row r="4" spans="1:23" x14ac:dyDescent="0.35">
      <c r="A4" t="s">
        <v>22</v>
      </c>
      <c r="B4">
        <v>1</v>
      </c>
      <c r="C4" t="s">
        <v>221</v>
      </c>
      <c r="D4" t="s">
        <v>380</v>
      </c>
      <c r="E4" t="s">
        <v>511</v>
      </c>
      <c r="F4" t="s">
        <v>511</v>
      </c>
      <c r="G4" t="s">
        <v>517</v>
      </c>
      <c r="H4" t="s">
        <v>517</v>
      </c>
      <c r="I4" t="s">
        <v>695</v>
      </c>
      <c r="J4" t="s">
        <v>695</v>
      </c>
      <c r="K4" t="s">
        <v>859</v>
      </c>
      <c r="L4" t="s">
        <v>859</v>
      </c>
      <c r="M4" t="s">
        <v>865</v>
      </c>
      <c r="N4" t="s">
        <v>865</v>
      </c>
      <c r="O4" t="s">
        <v>956</v>
      </c>
      <c r="P4" t="s">
        <v>956</v>
      </c>
      <c r="Q4" t="s">
        <v>961</v>
      </c>
      <c r="R4" t="s">
        <v>961</v>
      </c>
      <c r="S4" t="s">
        <v>965</v>
      </c>
      <c r="T4" t="str">
        <f t="shared" si="0"/>
        <v>OK</v>
      </c>
      <c r="U4" t="str">
        <f>IF(IF(MID(C4,5,1)="-", C4=D4, IF(OR(MID(C4,3,1)="/",MID(C4,3,1)="."), D4=MID(C4,7,4)&amp;"-"&amp;MID(C4,4,2)&amp;"-"&amp;LEFT(C4,2), D4=MID(C4,8,4)&amp;"-"&amp;TEXT(MATCH(MID(C4,4,3),{"Jan","Feb","Mar","Apr","May","Jun","Jul","Aug","Sep","Oct","Nov","Dec"},0),"00")&amp;"-"&amp;LEFT(C4,2))),"OK","CHECK")</f>
        <v>OK</v>
      </c>
    </row>
    <row r="5" spans="1:23" x14ac:dyDescent="0.35">
      <c r="A5" t="s">
        <v>23</v>
      </c>
      <c r="B5">
        <v>2</v>
      </c>
      <c r="C5" t="s">
        <v>222</v>
      </c>
      <c r="D5" t="s">
        <v>404</v>
      </c>
      <c r="E5" t="s">
        <v>512</v>
      </c>
      <c r="F5" t="s">
        <v>512</v>
      </c>
      <c r="G5" t="s">
        <v>518</v>
      </c>
      <c r="H5" t="s">
        <v>518</v>
      </c>
      <c r="I5" t="s">
        <v>696</v>
      </c>
      <c r="J5" t="s">
        <v>696</v>
      </c>
      <c r="K5" t="s">
        <v>860</v>
      </c>
      <c r="L5" t="s">
        <v>860</v>
      </c>
      <c r="M5" t="s">
        <v>866</v>
      </c>
      <c r="N5" t="s">
        <v>866</v>
      </c>
      <c r="O5" t="s">
        <v>956</v>
      </c>
      <c r="P5" t="s">
        <v>956</v>
      </c>
      <c r="Q5" t="s">
        <v>961</v>
      </c>
      <c r="R5" t="s">
        <v>961</v>
      </c>
      <c r="S5" t="s">
        <v>965</v>
      </c>
      <c r="T5" t="str">
        <f t="shared" si="0"/>
        <v>OK</v>
      </c>
      <c r="U5" t="str">
        <f>IF(IF(MID(C5,5,1)="-", C5=D5, IF(OR(MID(C5,3,1)="/",MID(C5,3,1)="."), D5=MID(C5,7,4)&amp;"-"&amp;MID(C5,4,2)&amp;"-"&amp;LEFT(C5,2), D5=MID(C5,8,4)&amp;"-"&amp;TEXT(MATCH(MID(C5,4,3),{"Jan","Feb","Mar","Apr","May","Jun","Jul","Aug","Sep","Oct","Nov","Dec"},0),"00")&amp;"-"&amp;LEFT(C5,2))),"OK","CHECK")</f>
        <v>OK</v>
      </c>
    </row>
    <row r="6" spans="1:23" x14ac:dyDescent="0.35">
      <c r="A6" t="s">
        <v>24</v>
      </c>
      <c r="B6">
        <v>1</v>
      </c>
      <c r="C6" t="s">
        <v>223</v>
      </c>
      <c r="D6" t="s">
        <v>405</v>
      </c>
      <c r="E6" t="s">
        <v>510</v>
      </c>
      <c r="F6" t="s">
        <v>510</v>
      </c>
      <c r="G6" t="s">
        <v>519</v>
      </c>
      <c r="H6" t="s">
        <v>519</v>
      </c>
      <c r="I6" t="s">
        <v>697</v>
      </c>
      <c r="J6" t="s">
        <v>697</v>
      </c>
      <c r="K6" t="s">
        <v>858</v>
      </c>
      <c r="L6" t="s">
        <v>858</v>
      </c>
      <c r="M6" t="s">
        <v>867</v>
      </c>
      <c r="N6" t="s">
        <v>867</v>
      </c>
      <c r="O6" t="s">
        <v>958</v>
      </c>
      <c r="P6" t="s">
        <v>958</v>
      </c>
      <c r="Q6" t="s">
        <v>962</v>
      </c>
      <c r="R6" t="s">
        <v>962</v>
      </c>
      <c r="S6" t="s">
        <v>965</v>
      </c>
      <c r="T6" t="str">
        <f t="shared" si="0"/>
        <v>OK</v>
      </c>
      <c r="U6" t="str">
        <f>IF(IF(MID(C6,5,1)="-", C6=D6, IF(OR(MID(C6,3,1)="/",MID(C6,3,1)="."), D6=MID(C6,7,4)&amp;"-"&amp;MID(C6,4,2)&amp;"-"&amp;LEFT(C6,2), D6=MID(C6,8,4)&amp;"-"&amp;TEXT(MATCH(MID(C6,4,3),{"Jan","Feb","Mar","Apr","May","Jun","Jul","Aug","Sep","Oct","Nov","Dec"},0),"00")&amp;"-"&amp;LEFT(C6,2))),"OK","CHECK")</f>
        <v>OK</v>
      </c>
    </row>
    <row r="7" spans="1:23" x14ac:dyDescent="0.35">
      <c r="A7" t="s">
        <v>25</v>
      </c>
      <c r="B7">
        <v>1</v>
      </c>
      <c r="C7" t="s">
        <v>224</v>
      </c>
      <c r="D7" t="s">
        <v>224</v>
      </c>
      <c r="E7" t="s">
        <v>512</v>
      </c>
      <c r="F7" t="s">
        <v>512</v>
      </c>
      <c r="G7" t="s">
        <v>520</v>
      </c>
      <c r="H7" t="s">
        <v>520</v>
      </c>
      <c r="I7" t="s">
        <v>698</v>
      </c>
      <c r="J7" t="s">
        <v>698</v>
      </c>
      <c r="K7" t="s">
        <v>860</v>
      </c>
      <c r="L7" t="s">
        <v>860</v>
      </c>
      <c r="M7" t="s">
        <v>868</v>
      </c>
      <c r="N7" t="s">
        <v>868</v>
      </c>
      <c r="O7" t="s">
        <v>956</v>
      </c>
      <c r="P7" t="s">
        <v>956</v>
      </c>
      <c r="Q7" t="s">
        <v>963</v>
      </c>
      <c r="R7" t="s">
        <v>963</v>
      </c>
      <c r="S7" t="s">
        <v>965</v>
      </c>
      <c r="T7" t="str">
        <f t="shared" si="0"/>
        <v>OK</v>
      </c>
      <c r="U7" t="str">
        <f>IF(IF(MID(C7,5,1)="-", C7=D7, IF(OR(MID(C7,3,1)="/",MID(C7,3,1)="."), D7=MID(C7,7,4)&amp;"-"&amp;MID(C7,4,2)&amp;"-"&amp;LEFT(C7,2), D7=MID(C7,8,4)&amp;"-"&amp;TEXT(MATCH(MID(C7,4,3),{"Jan","Feb","Mar","Apr","May","Jun","Jul","Aug","Sep","Oct","Nov","Dec"},0),"00")&amp;"-"&amp;LEFT(C7,2))),"OK","CHECK")</f>
        <v>OK</v>
      </c>
      <c r="W7">
        <f>COUNTIF(T2:T201,"OK")</f>
        <v>200</v>
      </c>
    </row>
    <row r="8" spans="1:23" x14ac:dyDescent="0.35">
      <c r="A8" t="s">
        <v>26</v>
      </c>
      <c r="B8">
        <v>2</v>
      </c>
      <c r="C8" t="s">
        <v>225</v>
      </c>
      <c r="D8" t="s">
        <v>406</v>
      </c>
      <c r="E8" t="s">
        <v>513</v>
      </c>
      <c r="F8" t="s">
        <v>513</v>
      </c>
      <c r="G8" t="s">
        <v>521</v>
      </c>
      <c r="H8" t="s">
        <v>521</v>
      </c>
      <c r="I8" t="s">
        <v>699</v>
      </c>
      <c r="J8" t="s">
        <v>699</v>
      </c>
      <c r="K8" t="s">
        <v>861</v>
      </c>
      <c r="L8" t="s">
        <v>861</v>
      </c>
      <c r="M8" t="s">
        <v>869</v>
      </c>
      <c r="N8" t="s">
        <v>869</v>
      </c>
      <c r="O8" t="s">
        <v>959</v>
      </c>
      <c r="P8" t="s">
        <v>959</v>
      </c>
      <c r="Q8" t="s">
        <v>963</v>
      </c>
      <c r="R8" t="s">
        <v>963</v>
      </c>
      <c r="S8" t="s">
        <v>965</v>
      </c>
      <c r="T8" t="str">
        <f t="shared" si="0"/>
        <v>OK</v>
      </c>
      <c r="U8" t="str">
        <f>IF(IF(MID(C8,5,1)="-", C8=D8, IF(OR(MID(C8,3,1)="/",MID(C8,3,1)="."), D8=MID(C8,7,4)&amp;"-"&amp;MID(C8,4,2)&amp;"-"&amp;LEFT(C8,2), D8=MID(C8,8,4)&amp;"-"&amp;TEXT(MATCH(MID(C8,4,3),{"Jan","Feb","Mar","Apr","May","Jun","Jul","Aug","Sep","Oct","Nov","Dec"},0),"00")&amp;"-"&amp;LEFT(C8,2))),"OK","CHECK")</f>
        <v>OK</v>
      </c>
      <c r="W8">
        <f>COUNTIF(T2:T201,"CHECK")</f>
        <v>0</v>
      </c>
    </row>
    <row r="9" spans="1:23" x14ac:dyDescent="0.35">
      <c r="A9" t="s">
        <v>27</v>
      </c>
      <c r="B9">
        <v>1</v>
      </c>
      <c r="C9" t="s">
        <v>226</v>
      </c>
      <c r="D9" t="s">
        <v>407</v>
      </c>
      <c r="E9" t="s">
        <v>513</v>
      </c>
      <c r="F9" t="s">
        <v>513</v>
      </c>
      <c r="G9" t="s">
        <v>522</v>
      </c>
      <c r="H9" t="s">
        <v>522</v>
      </c>
      <c r="I9" t="s">
        <v>700</v>
      </c>
      <c r="J9" t="s">
        <v>700</v>
      </c>
      <c r="K9" t="s">
        <v>861</v>
      </c>
      <c r="L9" t="s">
        <v>861</v>
      </c>
      <c r="M9" t="s">
        <v>870</v>
      </c>
      <c r="N9" t="s">
        <v>870</v>
      </c>
      <c r="O9" t="s">
        <v>960</v>
      </c>
      <c r="P9" t="s">
        <v>960</v>
      </c>
      <c r="Q9" t="s">
        <v>961</v>
      </c>
      <c r="R9" t="s">
        <v>961</v>
      </c>
      <c r="S9" t="s">
        <v>965</v>
      </c>
      <c r="T9" t="str">
        <f t="shared" si="0"/>
        <v>OK</v>
      </c>
      <c r="U9" t="str">
        <f>IF(IF(MID(C9,5,1)="-", C9=D9, IF(OR(MID(C9,3,1)="/",MID(C9,3,1)="."), D9=MID(C9,7,4)&amp;"-"&amp;MID(C9,4,2)&amp;"-"&amp;LEFT(C9,2), D9=MID(C9,8,4)&amp;"-"&amp;TEXT(MATCH(MID(C9,4,3),{"Jan","Feb","Mar","Apr","May","Jun","Jul","Aug","Sep","Oct","Nov","Dec"},0),"00")&amp;"-"&amp;LEFT(C9,2))),"OK","CHECK")</f>
        <v>OK</v>
      </c>
    </row>
    <row r="10" spans="1:23" x14ac:dyDescent="0.35">
      <c r="A10" t="s">
        <v>28</v>
      </c>
      <c r="B10">
        <v>2</v>
      </c>
      <c r="C10" t="s">
        <v>227</v>
      </c>
      <c r="D10" t="s">
        <v>408</v>
      </c>
      <c r="E10" t="s">
        <v>512</v>
      </c>
      <c r="F10" t="s">
        <v>512</v>
      </c>
      <c r="G10" t="s">
        <v>523</v>
      </c>
      <c r="H10" t="s">
        <v>523</v>
      </c>
      <c r="I10" t="s">
        <v>701</v>
      </c>
      <c r="J10" t="s">
        <v>701</v>
      </c>
      <c r="K10" t="s">
        <v>860</v>
      </c>
      <c r="L10" t="s">
        <v>860</v>
      </c>
      <c r="M10" t="s">
        <v>871</v>
      </c>
      <c r="N10" t="s">
        <v>871</v>
      </c>
      <c r="O10" t="s">
        <v>958</v>
      </c>
      <c r="P10" t="s">
        <v>958</v>
      </c>
      <c r="Q10" t="s">
        <v>963</v>
      </c>
      <c r="R10" t="s">
        <v>963</v>
      </c>
      <c r="S10" t="s">
        <v>965</v>
      </c>
      <c r="T10" t="str">
        <f t="shared" si="0"/>
        <v>OK</v>
      </c>
      <c r="U10" t="str">
        <f>IF(IF(MID(C10,5,1)="-", C10=D10, IF(OR(MID(C10,3,1)="/",MID(C10,3,1)="."), D10=MID(C10,7,4)&amp;"-"&amp;MID(C10,4,2)&amp;"-"&amp;LEFT(C10,2), D10=MID(C10,8,4)&amp;"-"&amp;TEXT(MATCH(MID(C10,4,3),{"Jan","Feb","Mar","Apr","May","Jun","Jul","Aug","Sep","Oct","Nov","Dec"},0),"00")&amp;"-"&amp;LEFT(C10,2))),"OK","CHECK")</f>
        <v>OK</v>
      </c>
    </row>
    <row r="11" spans="1:23" x14ac:dyDescent="0.35">
      <c r="A11" t="s">
        <v>29</v>
      </c>
      <c r="B11">
        <v>1</v>
      </c>
      <c r="C11" t="s">
        <v>228</v>
      </c>
      <c r="D11" t="s">
        <v>228</v>
      </c>
      <c r="E11" t="s">
        <v>512</v>
      </c>
      <c r="F11" t="s">
        <v>512</v>
      </c>
      <c r="G11" t="s">
        <v>524</v>
      </c>
      <c r="H11" t="s">
        <v>524</v>
      </c>
      <c r="I11" t="s">
        <v>702</v>
      </c>
      <c r="J11" t="s">
        <v>702</v>
      </c>
      <c r="K11" t="s">
        <v>860</v>
      </c>
      <c r="L11" t="s">
        <v>860</v>
      </c>
      <c r="M11" t="s">
        <v>869</v>
      </c>
      <c r="N11" t="s">
        <v>869</v>
      </c>
      <c r="O11" t="s">
        <v>960</v>
      </c>
      <c r="P11" t="s">
        <v>960</v>
      </c>
      <c r="Q11" t="s">
        <v>962</v>
      </c>
      <c r="R11" t="s">
        <v>962</v>
      </c>
      <c r="S11" t="s">
        <v>965</v>
      </c>
      <c r="T11" t="str">
        <f t="shared" si="0"/>
        <v>OK</v>
      </c>
      <c r="U11" t="str">
        <f>IF(IF(MID(C11,5,1)="-", C11=D11, IF(OR(MID(C11,3,1)="/",MID(C11,3,1)="."), D11=MID(C11,7,4)&amp;"-"&amp;MID(C11,4,2)&amp;"-"&amp;LEFT(C11,2), D11=MID(C11,8,4)&amp;"-"&amp;TEXT(MATCH(MID(C11,4,3),{"Jan","Feb","Mar","Apr","May","Jun","Jul","Aug","Sep","Oct","Nov","Dec"},0),"00")&amp;"-"&amp;LEFT(C11,2))),"OK","CHECK")</f>
        <v>OK</v>
      </c>
    </row>
    <row r="12" spans="1:23" x14ac:dyDescent="0.35">
      <c r="A12" t="s">
        <v>30</v>
      </c>
      <c r="B12">
        <v>1</v>
      </c>
      <c r="C12" t="s">
        <v>229</v>
      </c>
      <c r="D12" t="s">
        <v>253</v>
      </c>
      <c r="E12" t="s">
        <v>513</v>
      </c>
      <c r="F12" t="s">
        <v>513</v>
      </c>
      <c r="G12" t="s">
        <v>525</v>
      </c>
      <c r="H12" t="s">
        <v>525</v>
      </c>
      <c r="I12" t="s">
        <v>703</v>
      </c>
      <c r="J12" t="s">
        <v>703</v>
      </c>
      <c r="K12" t="s">
        <v>861</v>
      </c>
      <c r="L12" t="s">
        <v>861</v>
      </c>
      <c r="M12" t="s">
        <v>872</v>
      </c>
      <c r="N12" t="s">
        <v>872</v>
      </c>
      <c r="O12" t="s">
        <v>960</v>
      </c>
      <c r="P12" t="s">
        <v>960</v>
      </c>
      <c r="Q12" t="s">
        <v>963</v>
      </c>
      <c r="R12" t="s">
        <v>963</v>
      </c>
      <c r="S12" t="s">
        <v>965</v>
      </c>
      <c r="T12" t="str">
        <f t="shared" si="0"/>
        <v>OK</v>
      </c>
      <c r="U12" t="str">
        <f>IF(IF(MID(C12,5,1)="-", C12=D12, IF(OR(MID(C12,3,1)="/",MID(C12,3,1)="."), D12=MID(C12,7,4)&amp;"-"&amp;MID(C12,4,2)&amp;"-"&amp;LEFT(C12,2), D12=MID(C12,8,4)&amp;"-"&amp;TEXT(MATCH(MID(C12,4,3),{"Jan","Feb","Mar","Apr","May","Jun","Jul","Aug","Sep","Oct","Nov","Dec"},0),"00")&amp;"-"&amp;LEFT(C12,2))),"OK","CHECK")</f>
        <v>OK</v>
      </c>
    </row>
    <row r="13" spans="1:23" x14ac:dyDescent="0.35">
      <c r="A13" t="s">
        <v>31</v>
      </c>
      <c r="B13">
        <v>1</v>
      </c>
      <c r="C13" t="s">
        <v>230</v>
      </c>
      <c r="D13" t="s">
        <v>230</v>
      </c>
      <c r="E13" t="s">
        <v>509</v>
      </c>
      <c r="F13" t="s">
        <v>509</v>
      </c>
      <c r="G13" t="s">
        <v>526</v>
      </c>
      <c r="H13" t="s">
        <v>526</v>
      </c>
      <c r="I13" t="s">
        <v>704</v>
      </c>
      <c r="J13" t="s">
        <v>704</v>
      </c>
      <c r="K13" t="s">
        <v>857</v>
      </c>
      <c r="L13" t="s">
        <v>857</v>
      </c>
      <c r="M13" t="s">
        <v>873</v>
      </c>
      <c r="N13" t="s">
        <v>873</v>
      </c>
      <c r="O13" t="s">
        <v>957</v>
      </c>
      <c r="P13" t="s">
        <v>957</v>
      </c>
      <c r="Q13" t="s">
        <v>963</v>
      </c>
      <c r="R13" t="s">
        <v>963</v>
      </c>
      <c r="S13" t="s">
        <v>965</v>
      </c>
      <c r="T13" t="str">
        <f t="shared" si="0"/>
        <v>OK</v>
      </c>
      <c r="U13" t="str">
        <f>IF(IF(MID(C13,5,1)="-", C13=D13, IF(OR(MID(C13,3,1)="/",MID(C13,3,1)="."), D13=MID(C13,7,4)&amp;"-"&amp;MID(C13,4,2)&amp;"-"&amp;LEFT(C13,2), D13=MID(C13,8,4)&amp;"-"&amp;TEXT(MATCH(MID(C13,4,3),{"Jan","Feb","Mar","Apr","May","Jun","Jul","Aug","Sep","Oct","Nov","Dec"},0),"00")&amp;"-"&amp;LEFT(C13,2))),"OK","CHECK")</f>
        <v>OK</v>
      </c>
    </row>
    <row r="14" spans="1:23" x14ac:dyDescent="0.35">
      <c r="A14" t="s">
        <v>32</v>
      </c>
      <c r="B14">
        <v>1</v>
      </c>
      <c r="C14" t="s">
        <v>231</v>
      </c>
      <c r="D14" t="s">
        <v>409</v>
      </c>
      <c r="E14" t="s">
        <v>513</v>
      </c>
      <c r="F14" t="s">
        <v>513</v>
      </c>
      <c r="G14" t="s">
        <v>527</v>
      </c>
      <c r="H14" t="s">
        <v>527</v>
      </c>
      <c r="I14" t="s">
        <v>705</v>
      </c>
      <c r="J14" t="s">
        <v>705</v>
      </c>
      <c r="K14" t="s">
        <v>861</v>
      </c>
      <c r="L14" t="s">
        <v>861</v>
      </c>
      <c r="M14" t="s">
        <v>874</v>
      </c>
      <c r="N14" t="s">
        <v>874</v>
      </c>
      <c r="O14" t="s">
        <v>958</v>
      </c>
      <c r="P14" t="s">
        <v>958</v>
      </c>
      <c r="Q14" t="s">
        <v>962</v>
      </c>
      <c r="R14" t="s">
        <v>962</v>
      </c>
      <c r="S14" t="s">
        <v>965</v>
      </c>
      <c r="T14" t="str">
        <f t="shared" si="0"/>
        <v>OK</v>
      </c>
      <c r="U14" t="str">
        <f>IF(IF(MID(C14,5,1)="-", C14=D14, IF(OR(MID(C14,3,1)="/",MID(C14,3,1)="."), D14=MID(C14,7,4)&amp;"-"&amp;MID(C14,4,2)&amp;"-"&amp;LEFT(C14,2), D14=MID(C14,8,4)&amp;"-"&amp;TEXT(MATCH(MID(C14,4,3),{"Jan","Feb","Mar","Apr","May","Jun","Jul","Aug","Sep","Oct","Nov","Dec"},0),"00")&amp;"-"&amp;LEFT(C14,2))),"OK","CHECK")</f>
        <v>OK</v>
      </c>
    </row>
    <row r="15" spans="1:23" x14ac:dyDescent="0.35">
      <c r="A15" t="s">
        <v>33</v>
      </c>
      <c r="B15">
        <v>1</v>
      </c>
      <c r="C15" t="s">
        <v>232</v>
      </c>
      <c r="D15" t="s">
        <v>232</v>
      </c>
      <c r="E15" t="s">
        <v>511</v>
      </c>
      <c r="F15" t="s">
        <v>511</v>
      </c>
      <c r="G15" t="s">
        <v>528</v>
      </c>
      <c r="H15" t="s">
        <v>528</v>
      </c>
      <c r="I15" t="s">
        <v>706</v>
      </c>
      <c r="J15" t="s">
        <v>706</v>
      </c>
      <c r="K15" t="s">
        <v>859</v>
      </c>
      <c r="L15" t="s">
        <v>859</v>
      </c>
      <c r="M15" t="s">
        <v>875</v>
      </c>
      <c r="N15" t="s">
        <v>875</v>
      </c>
      <c r="O15" t="s">
        <v>956</v>
      </c>
      <c r="P15" t="s">
        <v>956</v>
      </c>
      <c r="Q15" t="s">
        <v>962</v>
      </c>
      <c r="R15" t="s">
        <v>962</v>
      </c>
      <c r="S15" t="s">
        <v>965</v>
      </c>
      <c r="T15" t="str">
        <f t="shared" si="0"/>
        <v>OK</v>
      </c>
      <c r="U15" t="str">
        <f>IF(IF(MID(C15,5,1)="-", C15=D15, IF(OR(MID(C15,3,1)="/",MID(C15,3,1)="."), D15=MID(C15,7,4)&amp;"-"&amp;MID(C15,4,2)&amp;"-"&amp;LEFT(C15,2), D15=MID(C15,8,4)&amp;"-"&amp;TEXT(MATCH(MID(C15,4,3),{"Jan","Feb","Mar","Apr","May","Jun","Jul","Aug","Sep","Oct","Nov","Dec"},0),"00")&amp;"-"&amp;LEFT(C15,2))),"OK","CHECK")</f>
        <v>OK</v>
      </c>
      <c r="W15">
        <f>COUNTIF(U2:U201,"OK")</f>
        <v>200</v>
      </c>
    </row>
    <row r="16" spans="1:23" x14ac:dyDescent="0.35">
      <c r="A16" t="s">
        <v>34</v>
      </c>
      <c r="B16">
        <v>1</v>
      </c>
      <c r="C16" t="s">
        <v>233</v>
      </c>
      <c r="D16" t="s">
        <v>410</v>
      </c>
      <c r="E16" t="s">
        <v>513</v>
      </c>
      <c r="F16" t="s">
        <v>513</v>
      </c>
      <c r="G16" t="s">
        <v>529</v>
      </c>
      <c r="H16" t="s">
        <v>529</v>
      </c>
      <c r="I16" t="s">
        <v>707</v>
      </c>
      <c r="J16" t="s">
        <v>707</v>
      </c>
      <c r="K16" t="s">
        <v>861</v>
      </c>
      <c r="L16" t="s">
        <v>861</v>
      </c>
      <c r="M16" t="s">
        <v>876</v>
      </c>
      <c r="N16" t="s">
        <v>876</v>
      </c>
      <c r="O16" t="s">
        <v>959</v>
      </c>
      <c r="P16" t="s">
        <v>959</v>
      </c>
      <c r="Q16" t="s">
        <v>963</v>
      </c>
      <c r="R16" t="s">
        <v>963</v>
      </c>
      <c r="S16" t="s">
        <v>965</v>
      </c>
      <c r="T16" t="str">
        <f t="shared" si="0"/>
        <v>OK</v>
      </c>
      <c r="U16" t="str">
        <f>IF(IF(MID(C16,5,1)="-", C16=D16, IF(OR(MID(C16,3,1)="/",MID(C16,3,1)="."), D16=MID(C16,7,4)&amp;"-"&amp;MID(C16,4,2)&amp;"-"&amp;LEFT(C16,2), D16=MID(C16,8,4)&amp;"-"&amp;TEXT(MATCH(MID(C16,4,3),{"Jan","Feb","Mar","Apr","May","Jun","Jul","Aug","Sep","Oct","Nov","Dec"},0),"00")&amp;"-"&amp;LEFT(C16,2))),"OK","CHECK")</f>
        <v>OK</v>
      </c>
      <c r="W16">
        <f>COUNTIF(U2:U201,"CHECK")</f>
        <v>0</v>
      </c>
    </row>
    <row r="17" spans="1:21" x14ac:dyDescent="0.35">
      <c r="A17" t="s">
        <v>35</v>
      </c>
      <c r="B17">
        <v>1</v>
      </c>
      <c r="C17" t="s">
        <v>234</v>
      </c>
      <c r="D17" t="s">
        <v>411</v>
      </c>
      <c r="E17" t="s">
        <v>512</v>
      </c>
      <c r="F17" t="s">
        <v>512</v>
      </c>
      <c r="G17" t="s">
        <v>530</v>
      </c>
      <c r="H17" t="s">
        <v>530</v>
      </c>
      <c r="I17" t="s">
        <v>708</v>
      </c>
      <c r="J17" t="s">
        <v>708</v>
      </c>
      <c r="K17" t="s">
        <v>860</v>
      </c>
      <c r="L17" t="s">
        <v>860</v>
      </c>
      <c r="M17" t="s">
        <v>877</v>
      </c>
      <c r="N17" t="s">
        <v>877</v>
      </c>
      <c r="O17" t="s">
        <v>956</v>
      </c>
      <c r="P17" t="s">
        <v>956</v>
      </c>
      <c r="Q17" t="s">
        <v>964</v>
      </c>
      <c r="R17" t="s">
        <v>964</v>
      </c>
      <c r="S17" t="s">
        <v>965</v>
      </c>
      <c r="T17" t="str">
        <f t="shared" si="0"/>
        <v>OK</v>
      </c>
      <c r="U17" t="str">
        <f>IF(IF(MID(C17,5,1)="-", C17=D17, IF(OR(MID(C17,3,1)="/",MID(C17,3,1)="."), D17=MID(C17,7,4)&amp;"-"&amp;MID(C17,4,2)&amp;"-"&amp;LEFT(C17,2), D17=MID(C17,8,4)&amp;"-"&amp;TEXT(MATCH(MID(C17,4,3),{"Jan","Feb","Mar","Apr","May","Jun","Jul","Aug","Sep","Oct","Nov","Dec"},0),"00")&amp;"-"&amp;LEFT(C17,2))),"OK","CHECK")</f>
        <v>OK</v>
      </c>
    </row>
    <row r="18" spans="1:21" x14ac:dyDescent="0.35">
      <c r="A18" t="s">
        <v>36</v>
      </c>
      <c r="B18">
        <v>1</v>
      </c>
      <c r="C18" t="s">
        <v>235</v>
      </c>
      <c r="D18" t="s">
        <v>412</v>
      </c>
      <c r="E18" t="s">
        <v>509</v>
      </c>
      <c r="F18" t="s">
        <v>509</v>
      </c>
      <c r="G18" t="s">
        <v>531</v>
      </c>
      <c r="H18" t="s">
        <v>531</v>
      </c>
      <c r="I18" t="s">
        <v>709</v>
      </c>
      <c r="J18" t="s">
        <v>709</v>
      </c>
      <c r="K18" t="s">
        <v>857</v>
      </c>
      <c r="L18" t="s">
        <v>857</v>
      </c>
      <c r="M18" t="s">
        <v>869</v>
      </c>
      <c r="N18" t="s">
        <v>869</v>
      </c>
      <c r="O18" t="s">
        <v>959</v>
      </c>
      <c r="P18" t="s">
        <v>959</v>
      </c>
      <c r="Q18" t="s">
        <v>962</v>
      </c>
      <c r="R18" t="s">
        <v>962</v>
      </c>
      <c r="S18" t="s">
        <v>965</v>
      </c>
      <c r="T18" t="str">
        <f t="shared" si="0"/>
        <v>OK</v>
      </c>
      <c r="U18" t="str">
        <f>IF(IF(MID(C18,5,1)="-", C18=D18, IF(OR(MID(C18,3,1)="/",MID(C18,3,1)="."), D18=MID(C18,7,4)&amp;"-"&amp;MID(C18,4,2)&amp;"-"&amp;LEFT(C18,2), D18=MID(C18,8,4)&amp;"-"&amp;TEXT(MATCH(MID(C18,4,3),{"Jan","Feb","Mar","Apr","May","Jun","Jul","Aug","Sep","Oct","Nov","Dec"},0),"00")&amp;"-"&amp;LEFT(C18,2))),"OK","CHECK")</f>
        <v>OK</v>
      </c>
    </row>
    <row r="19" spans="1:21" x14ac:dyDescent="0.35">
      <c r="A19" t="s">
        <v>37</v>
      </c>
      <c r="B19">
        <v>1</v>
      </c>
      <c r="C19" t="s">
        <v>236</v>
      </c>
      <c r="D19" t="s">
        <v>375</v>
      </c>
      <c r="E19" t="s">
        <v>512</v>
      </c>
      <c r="F19" t="s">
        <v>512</v>
      </c>
      <c r="G19" t="s">
        <v>532</v>
      </c>
      <c r="H19" t="s">
        <v>532</v>
      </c>
      <c r="I19" t="s">
        <v>710</v>
      </c>
      <c r="J19" t="s">
        <v>710</v>
      </c>
      <c r="K19" t="s">
        <v>860</v>
      </c>
      <c r="L19" t="s">
        <v>860</v>
      </c>
      <c r="M19" t="s">
        <v>866</v>
      </c>
      <c r="N19" t="s">
        <v>866</v>
      </c>
      <c r="O19" t="s">
        <v>957</v>
      </c>
      <c r="P19" t="s">
        <v>957</v>
      </c>
      <c r="Q19" t="s">
        <v>962</v>
      </c>
      <c r="R19" t="s">
        <v>962</v>
      </c>
      <c r="S19" t="s">
        <v>965</v>
      </c>
      <c r="T19" t="str">
        <f t="shared" si="0"/>
        <v>OK</v>
      </c>
      <c r="U19" t="str">
        <f>IF(IF(MID(C19,5,1)="-", C19=D19, IF(OR(MID(C19,3,1)="/",MID(C19,3,1)="."), D19=MID(C19,7,4)&amp;"-"&amp;MID(C19,4,2)&amp;"-"&amp;LEFT(C19,2), D19=MID(C19,8,4)&amp;"-"&amp;TEXT(MATCH(MID(C19,4,3),{"Jan","Feb","Mar","Apr","May","Jun","Jul","Aug","Sep","Oct","Nov","Dec"},0),"00")&amp;"-"&amp;LEFT(C19,2))),"OK","CHECK")</f>
        <v>OK</v>
      </c>
    </row>
    <row r="20" spans="1:21" x14ac:dyDescent="0.35">
      <c r="A20" t="s">
        <v>38</v>
      </c>
      <c r="B20">
        <v>1</v>
      </c>
      <c r="C20" t="s">
        <v>237</v>
      </c>
      <c r="D20" t="s">
        <v>413</v>
      </c>
      <c r="E20" t="s">
        <v>513</v>
      </c>
      <c r="F20" t="s">
        <v>513</v>
      </c>
      <c r="G20" t="s">
        <v>533</v>
      </c>
      <c r="H20" t="s">
        <v>533</v>
      </c>
      <c r="I20" t="s">
        <v>711</v>
      </c>
      <c r="J20" t="s">
        <v>711</v>
      </c>
      <c r="K20" t="s">
        <v>861</v>
      </c>
      <c r="L20" t="s">
        <v>861</v>
      </c>
      <c r="M20" t="s">
        <v>878</v>
      </c>
      <c r="N20" t="s">
        <v>878</v>
      </c>
      <c r="O20" t="s">
        <v>959</v>
      </c>
      <c r="P20" t="s">
        <v>959</v>
      </c>
      <c r="Q20" t="s">
        <v>962</v>
      </c>
      <c r="R20" t="s">
        <v>962</v>
      </c>
      <c r="S20" t="s">
        <v>965</v>
      </c>
      <c r="T20" t="str">
        <f t="shared" si="0"/>
        <v>OK</v>
      </c>
      <c r="U20" t="str">
        <f>IF(IF(MID(C20,5,1)="-", C20=D20, IF(OR(MID(C20,3,1)="/",MID(C20,3,1)="."), D20=MID(C20,7,4)&amp;"-"&amp;MID(C20,4,2)&amp;"-"&amp;LEFT(C20,2), D20=MID(C20,8,4)&amp;"-"&amp;TEXT(MATCH(MID(C20,4,3),{"Jan","Feb","Mar","Apr","May","Jun","Jul","Aug","Sep","Oct","Nov","Dec"},0),"00")&amp;"-"&amp;LEFT(C20,2))),"OK","CHECK")</f>
        <v>OK</v>
      </c>
    </row>
    <row r="21" spans="1:21" x14ac:dyDescent="0.35">
      <c r="A21" t="s">
        <v>39</v>
      </c>
      <c r="B21">
        <v>1</v>
      </c>
      <c r="C21" t="s">
        <v>238</v>
      </c>
      <c r="D21" t="s">
        <v>238</v>
      </c>
      <c r="E21" t="s">
        <v>511</v>
      </c>
      <c r="F21" t="s">
        <v>511</v>
      </c>
      <c r="G21" t="s">
        <v>525</v>
      </c>
      <c r="H21" t="s">
        <v>525</v>
      </c>
      <c r="I21" t="s">
        <v>712</v>
      </c>
      <c r="J21" t="s">
        <v>712</v>
      </c>
      <c r="K21" t="s">
        <v>859</v>
      </c>
      <c r="L21" t="s">
        <v>859</v>
      </c>
      <c r="M21" t="s">
        <v>879</v>
      </c>
      <c r="N21" t="s">
        <v>879</v>
      </c>
      <c r="O21" t="s">
        <v>960</v>
      </c>
      <c r="P21" t="s">
        <v>960</v>
      </c>
      <c r="Q21" t="s">
        <v>964</v>
      </c>
      <c r="R21" t="s">
        <v>964</v>
      </c>
      <c r="S21" t="s">
        <v>965</v>
      </c>
      <c r="T21" t="str">
        <f t="shared" si="0"/>
        <v>OK</v>
      </c>
      <c r="U21" t="str">
        <f>IF(IF(MID(C21,5,1)="-", C21=D21, IF(OR(MID(C21,3,1)="/",MID(C21,3,1)="."), D21=MID(C21,7,4)&amp;"-"&amp;MID(C21,4,2)&amp;"-"&amp;LEFT(C21,2), D21=MID(C21,8,4)&amp;"-"&amp;TEXT(MATCH(MID(C21,4,3),{"Jan","Feb","Mar","Apr","May","Jun","Jul","Aug","Sep","Oct","Nov","Dec"},0),"00")&amp;"-"&amp;LEFT(C21,2))),"OK","CHECK")</f>
        <v>OK</v>
      </c>
    </row>
    <row r="22" spans="1:21" x14ac:dyDescent="0.35">
      <c r="A22" t="s">
        <v>40</v>
      </c>
      <c r="B22">
        <v>1</v>
      </c>
      <c r="C22" t="s">
        <v>239</v>
      </c>
      <c r="D22" t="s">
        <v>414</v>
      </c>
      <c r="E22" t="s">
        <v>512</v>
      </c>
      <c r="F22" t="s">
        <v>512</v>
      </c>
      <c r="G22" t="s">
        <v>534</v>
      </c>
      <c r="H22" t="s">
        <v>534</v>
      </c>
      <c r="I22" t="s">
        <v>713</v>
      </c>
      <c r="J22" t="s">
        <v>713</v>
      </c>
      <c r="K22" t="s">
        <v>860</v>
      </c>
      <c r="L22" t="s">
        <v>860</v>
      </c>
      <c r="M22" t="s">
        <v>880</v>
      </c>
      <c r="N22" t="s">
        <v>880</v>
      </c>
      <c r="O22" t="s">
        <v>957</v>
      </c>
      <c r="P22" t="s">
        <v>957</v>
      </c>
      <c r="Q22" t="s">
        <v>964</v>
      </c>
      <c r="R22" t="s">
        <v>964</v>
      </c>
      <c r="S22" t="s">
        <v>965</v>
      </c>
      <c r="T22" t="str">
        <f t="shared" si="0"/>
        <v>OK</v>
      </c>
      <c r="U22" t="str">
        <f>IF(IF(MID(C22,5,1)="-", C22=D22, IF(OR(MID(C22,3,1)="/",MID(C22,3,1)="."), D22=MID(C22,7,4)&amp;"-"&amp;MID(C22,4,2)&amp;"-"&amp;LEFT(C22,2), D22=MID(C22,8,4)&amp;"-"&amp;TEXT(MATCH(MID(C22,4,3),{"Jan","Feb","Mar","Apr","May","Jun","Jul","Aug","Sep","Oct","Nov","Dec"},0),"00")&amp;"-"&amp;LEFT(C22,2))),"OK","CHECK")</f>
        <v>OK</v>
      </c>
    </row>
    <row r="23" spans="1:21" x14ac:dyDescent="0.35">
      <c r="A23" t="s">
        <v>41</v>
      </c>
      <c r="B23">
        <v>1</v>
      </c>
      <c r="C23" t="s">
        <v>240</v>
      </c>
      <c r="D23" t="s">
        <v>240</v>
      </c>
      <c r="E23" t="s">
        <v>512</v>
      </c>
      <c r="F23" t="s">
        <v>512</v>
      </c>
      <c r="G23" t="s">
        <v>535</v>
      </c>
      <c r="H23" t="s">
        <v>535</v>
      </c>
      <c r="I23" t="s">
        <v>714</v>
      </c>
      <c r="J23" t="s">
        <v>714</v>
      </c>
      <c r="K23" t="s">
        <v>860</v>
      </c>
      <c r="L23" t="s">
        <v>860</v>
      </c>
      <c r="M23" t="s">
        <v>881</v>
      </c>
      <c r="N23" t="s">
        <v>881</v>
      </c>
      <c r="O23" t="s">
        <v>958</v>
      </c>
      <c r="P23" t="s">
        <v>958</v>
      </c>
      <c r="Q23" t="s">
        <v>963</v>
      </c>
      <c r="R23" t="s">
        <v>963</v>
      </c>
      <c r="S23" t="s">
        <v>965</v>
      </c>
      <c r="T23" t="str">
        <f t="shared" si="0"/>
        <v>OK</v>
      </c>
      <c r="U23" t="str">
        <f>IF(IF(MID(C23,5,1)="-", C23=D23, IF(OR(MID(C23,3,1)="/",MID(C23,3,1)="."), D23=MID(C23,7,4)&amp;"-"&amp;MID(C23,4,2)&amp;"-"&amp;LEFT(C23,2), D23=MID(C23,8,4)&amp;"-"&amp;TEXT(MATCH(MID(C23,4,3),{"Jan","Feb","Mar","Apr","May","Jun","Jul","Aug","Sep","Oct","Nov","Dec"},0),"00")&amp;"-"&amp;LEFT(C23,2))),"OK","CHECK")</f>
        <v>OK</v>
      </c>
    </row>
    <row r="24" spans="1:21" x14ac:dyDescent="0.35">
      <c r="A24" t="s">
        <v>42</v>
      </c>
      <c r="B24">
        <v>1</v>
      </c>
      <c r="C24" t="s">
        <v>241</v>
      </c>
      <c r="D24" t="s">
        <v>414</v>
      </c>
      <c r="E24" t="s">
        <v>512</v>
      </c>
      <c r="F24" t="s">
        <v>512</v>
      </c>
      <c r="G24" t="s">
        <v>536</v>
      </c>
      <c r="H24" t="s">
        <v>536</v>
      </c>
      <c r="I24" t="s">
        <v>715</v>
      </c>
      <c r="J24" t="s">
        <v>715</v>
      </c>
      <c r="K24" t="s">
        <v>860</v>
      </c>
      <c r="L24" t="s">
        <v>860</v>
      </c>
      <c r="M24" t="s">
        <v>882</v>
      </c>
      <c r="N24" t="s">
        <v>882</v>
      </c>
      <c r="O24" t="s">
        <v>956</v>
      </c>
      <c r="P24" t="s">
        <v>956</v>
      </c>
      <c r="Q24" t="s">
        <v>963</v>
      </c>
      <c r="R24" t="s">
        <v>963</v>
      </c>
      <c r="S24" t="s">
        <v>965</v>
      </c>
      <c r="T24" t="str">
        <f t="shared" si="0"/>
        <v>OK</v>
      </c>
      <c r="U24" t="str">
        <f>IF(IF(MID(C24,5,1)="-", C24=D24, IF(OR(MID(C24,3,1)="/",MID(C24,3,1)="."), D24=MID(C24,7,4)&amp;"-"&amp;MID(C24,4,2)&amp;"-"&amp;LEFT(C24,2), D24=MID(C24,8,4)&amp;"-"&amp;TEXT(MATCH(MID(C24,4,3),{"Jan","Feb","Mar","Apr","May","Jun","Jul","Aug","Sep","Oct","Nov","Dec"},0),"00")&amp;"-"&amp;LEFT(C24,2))),"OK","CHECK")</f>
        <v>OK</v>
      </c>
    </row>
    <row r="25" spans="1:21" x14ac:dyDescent="0.35">
      <c r="A25" t="s">
        <v>43</v>
      </c>
      <c r="B25">
        <v>2</v>
      </c>
      <c r="C25" t="s">
        <v>231</v>
      </c>
      <c r="D25" t="s">
        <v>409</v>
      </c>
      <c r="E25" t="s">
        <v>514</v>
      </c>
      <c r="F25" t="s">
        <v>514</v>
      </c>
      <c r="G25" t="s">
        <v>537</v>
      </c>
      <c r="H25" t="s">
        <v>537</v>
      </c>
      <c r="I25" t="s">
        <v>716</v>
      </c>
      <c r="J25" t="s">
        <v>716</v>
      </c>
      <c r="K25" t="s">
        <v>862</v>
      </c>
      <c r="L25" t="s">
        <v>862</v>
      </c>
      <c r="M25" t="s">
        <v>883</v>
      </c>
      <c r="N25" t="s">
        <v>883</v>
      </c>
      <c r="O25" t="s">
        <v>960</v>
      </c>
      <c r="P25" t="s">
        <v>960</v>
      </c>
      <c r="Q25" t="s">
        <v>961</v>
      </c>
      <c r="R25" t="s">
        <v>961</v>
      </c>
      <c r="S25" t="s">
        <v>965</v>
      </c>
      <c r="T25" t="str">
        <f t="shared" si="0"/>
        <v>OK</v>
      </c>
      <c r="U25" t="str">
        <f>IF(IF(MID(C25,5,1)="-", C25=D25, IF(OR(MID(C25,3,1)="/",MID(C25,3,1)="."), D25=MID(C25,7,4)&amp;"-"&amp;MID(C25,4,2)&amp;"-"&amp;LEFT(C25,2), D25=MID(C25,8,4)&amp;"-"&amp;TEXT(MATCH(MID(C25,4,3),{"Jan","Feb","Mar","Apr","May","Jun","Jul","Aug","Sep","Oct","Nov","Dec"},0),"00")&amp;"-"&amp;LEFT(C25,2))),"OK","CHECK")</f>
        <v>OK</v>
      </c>
    </row>
    <row r="26" spans="1:21" x14ac:dyDescent="0.35">
      <c r="A26" t="s">
        <v>44</v>
      </c>
      <c r="B26">
        <v>1</v>
      </c>
      <c r="C26" t="s">
        <v>242</v>
      </c>
      <c r="D26" t="s">
        <v>242</v>
      </c>
      <c r="E26" t="s">
        <v>511</v>
      </c>
      <c r="F26" t="s">
        <v>511</v>
      </c>
      <c r="G26" t="s">
        <v>538</v>
      </c>
      <c r="H26" t="s">
        <v>538</v>
      </c>
      <c r="I26" t="s">
        <v>717</v>
      </c>
      <c r="J26" t="s">
        <v>717</v>
      </c>
      <c r="K26" t="s">
        <v>859</v>
      </c>
      <c r="L26" t="s">
        <v>859</v>
      </c>
      <c r="M26" t="s">
        <v>884</v>
      </c>
      <c r="N26" t="s">
        <v>884</v>
      </c>
      <c r="O26" t="s">
        <v>957</v>
      </c>
      <c r="P26" t="s">
        <v>957</v>
      </c>
      <c r="Q26" t="s">
        <v>963</v>
      </c>
      <c r="R26" t="s">
        <v>963</v>
      </c>
      <c r="S26" t="s">
        <v>965</v>
      </c>
      <c r="T26" t="str">
        <f t="shared" si="0"/>
        <v>OK</v>
      </c>
      <c r="U26" t="str">
        <f>IF(IF(MID(C26,5,1)="-", C26=D26, IF(OR(MID(C26,3,1)="/",MID(C26,3,1)="."), D26=MID(C26,7,4)&amp;"-"&amp;MID(C26,4,2)&amp;"-"&amp;LEFT(C26,2), D26=MID(C26,8,4)&amp;"-"&amp;TEXT(MATCH(MID(C26,4,3),{"Jan","Feb","Mar","Apr","May","Jun","Jul","Aug","Sep","Oct","Nov","Dec"},0),"00")&amp;"-"&amp;LEFT(C26,2))),"OK","CHECK")</f>
        <v>OK</v>
      </c>
    </row>
    <row r="27" spans="1:21" x14ac:dyDescent="0.35">
      <c r="A27" t="s">
        <v>45</v>
      </c>
      <c r="B27">
        <v>1</v>
      </c>
      <c r="C27" t="s">
        <v>243</v>
      </c>
      <c r="D27" t="s">
        <v>243</v>
      </c>
      <c r="E27" t="s">
        <v>510</v>
      </c>
      <c r="F27" t="s">
        <v>510</v>
      </c>
      <c r="G27" t="s">
        <v>539</v>
      </c>
      <c r="H27" t="s">
        <v>539</v>
      </c>
      <c r="I27" t="s">
        <v>718</v>
      </c>
      <c r="J27" t="s">
        <v>718</v>
      </c>
      <c r="K27" t="s">
        <v>858</v>
      </c>
      <c r="L27" t="s">
        <v>858</v>
      </c>
      <c r="M27" t="s">
        <v>885</v>
      </c>
      <c r="N27" t="s">
        <v>885</v>
      </c>
      <c r="P27" t="s">
        <v>955</v>
      </c>
      <c r="Q27" t="s">
        <v>964</v>
      </c>
      <c r="R27" t="s">
        <v>964</v>
      </c>
      <c r="S27" t="s">
        <v>965</v>
      </c>
      <c r="T27" t="str">
        <f t="shared" si="0"/>
        <v>OK</v>
      </c>
      <c r="U27" t="str">
        <f>IF(IF(MID(C27,5,1)="-", C27=D27, IF(OR(MID(C27,3,1)="/",MID(C27,3,1)="."), D27=MID(C27,7,4)&amp;"-"&amp;MID(C27,4,2)&amp;"-"&amp;LEFT(C27,2), D27=MID(C27,8,4)&amp;"-"&amp;TEXT(MATCH(MID(C27,4,3),{"Jan","Feb","Mar","Apr","May","Jun","Jul","Aug","Sep","Oct","Nov","Dec"},0),"00")&amp;"-"&amp;LEFT(C27,2))),"OK","CHECK")</f>
        <v>OK</v>
      </c>
    </row>
    <row r="28" spans="1:21" x14ac:dyDescent="0.35">
      <c r="A28" t="s">
        <v>46</v>
      </c>
      <c r="B28">
        <v>1</v>
      </c>
      <c r="C28" t="s">
        <v>244</v>
      </c>
      <c r="D28" t="s">
        <v>415</v>
      </c>
      <c r="E28" t="s">
        <v>514</v>
      </c>
      <c r="F28" t="s">
        <v>514</v>
      </c>
      <c r="G28" t="s">
        <v>540</v>
      </c>
      <c r="H28" t="s">
        <v>540</v>
      </c>
      <c r="I28" t="s">
        <v>719</v>
      </c>
      <c r="J28" t="s">
        <v>719</v>
      </c>
      <c r="K28" t="s">
        <v>862</v>
      </c>
      <c r="L28" t="s">
        <v>862</v>
      </c>
      <c r="M28" t="s">
        <v>877</v>
      </c>
      <c r="N28" t="s">
        <v>877</v>
      </c>
      <c r="O28" t="s">
        <v>957</v>
      </c>
      <c r="P28" t="s">
        <v>957</v>
      </c>
      <c r="Q28" t="s">
        <v>961</v>
      </c>
      <c r="R28" t="s">
        <v>961</v>
      </c>
      <c r="S28" t="s">
        <v>965</v>
      </c>
      <c r="T28" t="str">
        <f t="shared" si="0"/>
        <v>OK</v>
      </c>
      <c r="U28" t="str">
        <f>IF(IF(MID(C28,5,1)="-", C28=D28, IF(OR(MID(C28,3,1)="/",MID(C28,3,1)="."), D28=MID(C28,7,4)&amp;"-"&amp;MID(C28,4,2)&amp;"-"&amp;LEFT(C28,2), D28=MID(C28,8,4)&amp;"-"&amp;TEXT(MATCH(MID(C28,4,3),{"Jan","Feb","Mar","Apr","May","Jun","Jul","Aug","Sep","Oct","Nov","Dec"},0),"00")&amp;"-"&amp;LEFT(C28,2))),"OK","CHECK")</f>
        <v>OK</v>
      </c>
    </row>
    <row r="29" spans="1:21" x14ac:dyDescent="0.35">
      <c r="A29" t="s">
        <v>47</v>
      </c>
      <c r="B29">
        <v>1</v>
      </c>
      <c r="C29" t="s">
        <v>245</v>
      </c>
      <c r="D29" t="s">
        <v>245</v>
      </c>
      <c r="E29" t="s">
        <v>511</v>
      </c>
      <c r="F29" t="s">
        <v>511</v>
      </c>
      <c r="G29" t="s">
        <v>541</v>
      </c>
      <c r="H29" t="s">
        <v>541</v>
      </c>
      <c r="I29" t="s">
        <v>720</v>
      </c>
      <c r="J29" t="s">
        <v>720</v>
      </c>
      <c r="K29" t="s">
        <v>859</v>
      </c>
      <c r="L29" t="s">
        <v>859</v>
      </c>
      <c r="M29" t="s">
        <v>886</v>
      </c>
      <c r="N29" t="s">
        <v>886</v>
      </c>
      <c r="O29" t="s">
        <v>956</v>
      </c>
      <c r="P29" t="s">
        <v>956</v>
      </c>
      <c r="Q29" t="s">
        <v>961</v>
      </c>
      <c r="R29" t="s">
        <v>961</v>
      </c>
      <c r="S29" t="s">
        <v>965</v>
      </c>
      <c r="T29" t="str">
        <f t="shared" si="0"/>
        <v>OK</v>
      </c>
      <c r="U29" t="str">
        <f>IF(IF(MID(C29,5,1)="-", C29=D29, IF(OR(MID(C29,3,1)="/",MID(C29,3,1)="."), D29=MID(C29,7,4)&amp;"-"&amp;MID(C29,4,2)&amp;"-"&amp;LEFT(C29,2), D29=MID(C29,8,4)&amp;"-"&amp;TEXT(MATCH(MID(C29,4,3),{"Jan","Feb","Mar","Apr","May","Jun","Jul","Aug","Sep","Oct","Nov","Dec"},0),"00")&amp;"-"&amp;LEFT(C29,2))),"OK","CHECK")</f>
        <v>OK</v>
      </c>
    </row>
    <row r="30" spans="1:21" x14ac:dyDescent="0.35">
      <c r="A30" t="s">
        <v>48</v>
      </c>
      <c r="B30">
        <v>1</v>
      </c>
      <c r="C30" t="s">
        <v>246</v>
      </c>
      <c r="D30" t="s">
        <v>246</v>
      </c>
      <c r="E30" t="s">
        <v>513</v>
      </c>
      <c r="F30" t="s">
        <v>513</v>
      </c>
      <c r="G30" t="s">
        <v>542</v>
      </c>
      <c r="H30" t="s">
        <v>542</v>
      </c>
      <c r="I30" t="s">
        <v>721</v>
      </c>
      <c r="J30" t="s">
        <v>721</v>
      </c>
      <c r="K30" t="s">
        <v>861</v>
      </c>
      <c r="L30" t="s">
        <v>861</v>
      </c>
      <c r="M30" t="s">
        <v>887</v>
      </c>
      <c r="N30" t="s">
        <v>887</v>
      </c>
      <c r="O30" t="s">
        <v>957</v>
      </c>
      <c r="P30" t="s">
        <v>957</v>
      </c>
      <c r="Q30" t="s">
        <v>963</v>
      </c>
      <c r="R30" t="s">
        <v>963</v>
      </c>
      <c r="S30" t="s">
        <v>965</v>
      </c>
      <c r="T30" t="str">
        <f t="shared" si="0"/>
        <v>OK</v>
      </c>
      <c r="U30" t="str">
        <f>IF(IF(MID(C30,5,1)="-", C30=D30, IF(OR(MID(C30,3,1)="/",MID(C30,3,1)="."), D30=MID(C30,7,4)&amp;"-"&amp;MID(C30,4,2)&amp;"-"&amp;LEFT(C30,2), D30=MID(C30,8,4)&amp;"-"&amp;TEXT(MATCH(MID(C30,4,3),{"Jan","Feb","Mar","Apr","May","Jun","Jul","Aug","Sep","Oct","Nov","Dec"},0),"00")&amp;"-"&amp;LEFT(C30,2))),"OK","CHECK")</f>
        <v>OK</v>
      </c>
    </row>
    <row r="31" spans="1:21" x14ac:dyDescent="0.35">
      <c r="A31" t="s">
        <v>49</v>
      </c>
      <c r="B31">
        <v>1</v>
      </c>
      <c r="C31" t="s">
        <v>247</v>
      </c>
      <c r="D31" t="s">
        <v>416</v>
      </c>
      <c r="E31" t="s">
        <v>511</v>
      </c>
      <c r="F31" t="s">
        <v>511</v>
      </c>
      <c r="G31" t="s">
        <v>543</v>
      </c>
      <c r="H31" t="s">
        <v>543</v>
      </c>
      <c r="I31" t="s">
        <v>722</v>
      </c>
      <c r="J31" t="s">
        <v>722</v>
      </c>
      <c r="K31" t="s">
        <v>859</v>
      </c>
      <c r="L31" t="s">
        <v>859</v>
      </c>
      <c r="M31" t="s">
        <v>888</v>
      </c>
      <c r="N31" t="s">
        <v>888</v>
      </c>
      <c r="O31" t="s">
        <v>956</v>
      </c>
      <c r="P31" t="s">
        <v>956</v>
      </c>
      <c r="Q31" t="s">
        <v>963</v>
      </c>
      <c r="R31" t="s">
        <v>963</v>
      </c>
      <c r="S31" t="s">
        <v>965</v>
      </c>
      <c r="T31" t="str">
        <f t="shared" si="0"/>
        <v>OK</v>
      </c>
      <c r="U31" t="str">
        <f>IF(IF(MID(C31,5,1)="-", C31=D31, IF(OR(MID(C31,3,1)="/",MID(C31,3,1)="."), D31=MID(C31,7,4)&amp;"-"&amp;MID(C31,4,2)&amp;"-"&amp;LEFT(C31,2), D31=MID(C31,8,4)&amp;"-"&amp;TEXT(MATCH(MID(C31,4,3),{"Jan","Feb","Mar","Apr","May","Jun","Jul","Aug","Sep","Oct","Nov","Dec"},0),"00")&amp;"-"&amp;LEFT(C31,2))),"OK","CHECK")</f>
        <v>OK</v>
      </c>
    </row>
    <row r="32" spans="1:21" x14ac:dyDescent="0.35">
      <c r="A32" t="s">
        <v>50</v>
      </c>
      <c r="B32">
        <v>2</v>
      </c>
      <c r="C32" t="s">
        <v>248</v>
      </c>
      <c r="D32" t="s">
        <v>248</v>
      </c>
      <c r="E32" t="s">
        <v>511</v>
      </c>
      <c r="F32" t="s">
        <v>511</v>
      </c>
      <c r="G32" t="s">
        <v>544</v>
      </c>
      <c r="H32" t="s">
        <v>544</v>
      </c>
      <c r="I32" t="s">
        <v>723</v>
      </c>
      <c r="J32" t="s">
        <v>723</v>
      </c>
      <c r="K32" t="s">
        <v>859</v>
      </c>
      <c r="L32" t="s">
        <v>859</v>
      </c>
      <c r="M32" t="s">
        <v>878</v>
      </c>
      <c r="N32" t="s">
        <v>878</v>
      </c>
      <c r="O32" t="s">
        <v>958</v>
      </c>
      <c r="P32" t="s">
        <v>958</v>
      </c>
      <c r="Q32" t="s">
        <v>964</v>
      </c>
      <c r="R32" t="s">
        <v>964</v>
      </c>
      <c r="S32" t="s">
        <v>965</v>
      </c>
      <c r="T32" t="str">
        <f t="shared" si="0"/>
        <v>OK</v>
      </c>
      <c r="U32" t="str">
        <f>IF(IF(MID(C32,5,1)="-", C32=D32, IF(OR(MID(C32,3,1)="/",MID(C32,3,1)="."), D32=MID(C32,7,4)&amp;"-"&amp;MID(C32,4,2)&amp;"-"&amp;LEFT(C32,2), D32=MID(C32,8,4)&amp;"-"&amp;TEXT(MATCH(MID(C32,4,3),{"Jan","Feb","Mar","Apr","May","Jun","Jul","Aug","Sep","Oct","Nov","Dec"},0),"00")&amp;"-"&amp;LEFT(C32,2))),"OK","CHECK")</f>
        <v>OK</v>
      </c>
    </row>
    <row r="33" spans="1:21" x14ac:dyDescent="0.35">
      <c r="A33" t="s">
        <v>51</v>
      </c>
      <c r="B33">
        <v>1</v>
      </c>
      <c r="C33" t="s">
        <v>249</v>
      </c>
      <c r="D33" t="s">
        <v>417</v>
      </c>
      <c r="E33" t="s">
        <v>513</v>
      </c>
      <c r="F33" t="s">
        <v>513</v>
      </c>
      <c r="G33" t="s">
        <v>545</v>
      </c>
      <c r="H33" t="s">
        <v>545</v>
      </c>
      <c r="I33" t="s">
        <v>724</v>
      </c>
      <c r="J33" t="s">
        <v>724</v>
      </c>
      <c r="K33" t="s">
        <v>861</v>
      </c>
      <c r="L33" t="s">
        <v>861</v>
      </c>
      <c r="M33" t="s">
        <v>865</v>
      </c>
      <c r="N33" t="s">
        <v>865</v>
      </c>
      <c r="O33" t="s">
        <v>958</v>
      </c>
      <c r="P33" t="s">
        <v>958</v>
      </c>
      <c r="Q33" t="s">
        <v>961</v>
      </c>
      <c r="R33" t="s">
        <v>961</v>
      </c>
      <c r="S33" t="s">
        <v>965</v>
      </c>
      <c r="T33" t="str">
        <f t="shared" si="0"/>
        <v>OK</v>
      </c>
      <c r="U33" t="str">
        <f>IF(IF(MID(C33,5,1)="-", C33=D33, IF(OR(MID(C33,3,1)="/",MID(C33,3,1)="."), D33=MID(C33,7,4)&amp;"-"&amp;MID(C33,4,2)&amp;"-"&amp;LEFT(C33,2), D33=MID(C33,8,4)&amp;"-"&amp;TEXT(MATCH(MID(C33,4,3),{"Jan","Feb","Mar","Apr","May","Jun","Jul","Aug","Sep","Oct","Nov","Dec"},0),"00")&amp;"-"&amp;LEFT(C33,2))),"OK","CHECK")</f>
        <v>OK</v>
      </c>
    </row>
    <row r="34" spans="1:21" x14ac:dyDescent="0.35">
      <c r="A34" t="s">
        <v>52</v>
      </c>
      <c r="B34">
        <v>1</v>
      </c>
      <c r="C34" t="s">
        <v>250</v>
      </c>
      <c r="D34" t="s">
        <v>250</v>
      </c>
      <c r="E34" t="s">
        <v>509</v>
      </c>
      <c r="F34" t="s">
        <v>509</v>
      </c>
      <c r="G34" t="s">
        <v>546</v>
      </c>
      <c r="H34" t="s">
        <v>546</v>
      </c>
      <c r="I34" t="s">
        <v>725</v>
      </c>
      <c r="J34" t="s">
        <v>725</v>
      </c>
      <c r="K34" t="s">
        <v>857</v>
      </c>
      <c r="L34" t="s">
        <v>857</v>
      </c>
      <c r="M34" t="s">
        <v>889</v>
      </c>
      <c r="N34" t="s">
        <v>889</v>
      </c>
      <c r="O34" t="s">
        <v>958</v>
      </c>
      <c r="P34" t="s">
        <v>958</v>
      </c>
      <c r="Q34" t="s">
        <v>962</v>
      </c>
      <c r="R34" t="s">
        <v>962</v>
      </c>
      <c r="S34" t="s">
        <v>965</v>
      </c>
      <c r="T34" t="str">
        <f t="shared" si="0"/>
        <v>OK</v>
      </c>
      <c r="U34" t="str">
        <f>IF(IF(MID(C34,5,1)="-", C34=D34, IF(OR(MID(C34,3,1)="/",MID(C34,3,1)="."), D34=MID(C34,7,4)&amp;"-"&amp;MID(C34,4,2)&amp;"-"&amp;LEFT(C34,2), D34=MID(C34,8,4)&amp;"-"&amp;TEXT(MATCH(MID(C34,4,3),{"Jan","Feb","Mar","Apr","May","Jun","Jul","Aug","Sep","Oct","Nov","Dec"},0),"00")&amp;"-"&amp;LEFT(C34,2))),"OK","CHECK")</f>
        <v>OK</v>
      </c>
    </row>
    <row r="35" spans="1:21" x14ac:dyDescent="0.35">
      <c r="A35" t="s">
        <v>53</v>
      </c>
      <c r="B35">
        <v>1</v>
      </c>
      <c r="C35" t="s">
        <v>251</v>
      </c>
      <c r="D35" t="s">
        <v>418</v>
      </c>
      <c r="E35" t="s">
        <v>509</v>
      </c>
      <c r="F35" t="s">
        <v>509</v>
      </c>
      <c r="G35" t="s">
        <v>547</v>
      </c>
      <c r="H35" t="s">
        <v>547</v>
      </c>
      <c r="I35" t="s">
        <v>726</v>
      </c>
      <c r="J35" t="s">
        <v>726</v>
      </c>
      <c r="K35" t="s">
        <v>857</v>
      </c>
      <c r="L35" t="s">
        <v>857</v>
      </c>
      <c r="M35" t="s">
        <v>890</v>
      </c>
      <c r="N35" t="s">
        <v>890</v>
      </c>
      <c r="O35" t="s">
        <v>958</v>
      </c>
      <c r="P35" t="s">
        <v>958</v>
      </c>
      <c r="Q35" t="s">
        <v>964</v>
      </c>
      <c r="R35" t="s">
        <v>964</v>
      </c>
      <c r="S35" t="s">
        <v>965</v>
      </c>
      <c r="T35" t="str">
        <f t="shared" si="0"/>
        <v>OK</v>
      </c>
      <c r="U35" t="str">
        <f>IF(IF(MID(C35,5,1)="-", C35=D35, IF(OR(MID(C35,3,1)="/",MID(C35,3,1)="."), D35=MID(C35,7,4)&amp;"-"&amp;MID(C35,4,2)&amp;"-"&amp;LEFT(C35,2), D35=MID(C35,8,4)&amp;"-"&amp;TEXT(MATCH(MID(C35,4,3),{"Jan","Feb","Mar","Apr","May","Jun","Jul","Aug","Sep","Oct","Nov","Dec"},0),"00")&amp;"-"&amp;LEFT(C35,2))),"OK","CHECK")</f>
        <v>OK</v>
      </c>
    </row>
    <row r="36" spans="1:21" x14ac:dyDescent="0.35">
      <c r="A36" t="s">
        <v>54</v>
      </c>
      <c r="B36">
        <v>1</v>
      </c>
      <c r="C36" t="s">
        <v>252</v>
      </c>
      <c r="D36" t="s">
        <v>252</v>
      </c>
      <c r="E36" t="s">
        <v>510</v>
      </c>
      <c r="F36" t="s">
        <v>510</v>
      </c>
      <c r="G36" t="s">
        <v>548</v>
      </c>
      <c r="H36" t="s">
        <v>548</v>
      </c>
      <c r="I36" t="s">
        <v>727</v>
      </c>
      <c r="J36" t="s">
        <v>727</v>
      </c>
      <c r="K36" t="s">
        <v>858</v>
      </c>
      <c r="L36" t="s">
        <v>858</v>
      </c>
      <c r="M36" t="s">
        <v>891</v>
      </c>
      <c r="N36" t="s">
        <v>891</v>
      </c>
      <c r="O36" t="s">
        <v>960</v>
      </c>
      <c r="P36" t="s">
        <v>960</v>
      </c>
      <c r="Q36" t="s">
        <v>962</v>
      </c>
      <c r="R36" t="s">
        <v>962</v>
      </c>
      <c r="S36" t="s">
        <v>965</v>
      </c>
      <c r="T36" t="str">
        <f t="shared" si="0"/>
        <v>OK</v>
      </c>
      <c r="U36" t="str">
        <f>IF(IF(MID(C36,5,1)="-", C36=D36, IF(OR(MID(C36,3,1)="/",MID(C36,3,1)="."), D36=MID(C36,7,4)&amp;"-"&amp;MID(C36,4,2)&amp;"-"&amp;LEFT(C36,2), D36=MID(C36,8,4)&amp;"-"&amp;TEXT(MATCH(MID(C36,4,3),{"Jan","Feb","Mar","Apr","May","Jun","Jul","Aug","Sep","Oct","Nov","Dec"},0),"00")&amp;"-"&amp;LEFT(C36,2))),"OK","CHECK")</f>
        <v>OK</v>
      </c>
    </row>
    <row r="37" spans="1:21" x14ac:dyDescent="0.35">
      <c r="A37" t="s">
        <v>55</v>
      </c>
      <c r="B37">
        <v>1</v>
      </c>
      <c r="C37" t="s">
        <v>253</v>
      </c>
      <c r="D37" t="s">
        <v>253</v>
      </c>
      <c r="E37" t="s">
        <v>511</v>
      </c>
      <c r="F37" t="s">
        <v>511</v>
      </c>
      <c r="G37" t="s">
        <v>549</v>
      </c>
      <c r="H37" t="s">
        <v>549</v>
      </c>
      <c r="I37" t="s">
        <v>728</v>
      </c>
      <c r="J37" t="s">
        <v>728</v>
      </c>
      <c r="K37" t="s">
        <v>859</v>
      </c>
      <c r="L37" t="s">
        <v>859</v>
      </c>
      <c r="M37" t="s">
        <v>892</v>
      </c>
      <c r="N37" t="s">
        <v>892</v>
      </c>
      <c r="O37" t="s">
        <v>957</v>
      </c>
      <c r="P37" t="s">
        <v>957</v>
      </c>
      <c r="Q37" t="s">
        <v>963</v>
      </c>
      <c r="R37" t="s">
        <v>963</v>
      </c>
      <c r="S37" t="s">
        <v>965</v>
      </c>
      <c r="T37" t="str">
        <f t="shared" si="0"/>
        <v>OK</v>
      </c>
      <c r="U37" t="str">
        <f>IF(IF(MID(C37,5,1)="-", C37=D37, IF(OR(MID(C37,3,1)="/",MID(C37,3,1)="."), D37=MID(C37,7,4)&amp;"-"&amp;MID(C37,4,2)&amp;"-"&amp;LEFT(C37,2), D37=MID(C37,8,4)&amp;"-"&amp;TEXT(MATCH(MID(C37,4,3),{"Jan","Feb","Mar","Apr","May","Jun","Jul","Aug","Sep","Oct","Nov","Dec"},0),"00")&amp;"-"&amp;LEFT(C37,2))),"OK","CHECK")</f>
        <v>OK</v>
      </c>
    </row>
    <row r="38" spans="1:21" x14ac:dyDescent="0.35">
      <c r="A38" t="s">
        <v>56</v>
      </c>
      <c r="B38">
        <v>1</v>
      </c>
      <c r="C38" t="s">
        <v>254</v>
      </c>
      <c r="D38" t="s">
        <v>419</v>
      </c>
      <c r="E38" t="s">
        <v>514</v>
      </c>
      <c r="F38" t="s">
        <v>514</v>
      </c>
      <c r="G38" t="s">
        <v>550</v>
      </c>
      <c r="H38" t="s">
        <v>550</v>
      </c>
      <c r="I38" t="s">
        <v>729</v>
      </c>
      <c r="J38" t="s">
        <v>729</v>
      </c>
      <c r="K38" t="s">
        <v>862</v>
      </c>
      <c r="L38" t="s">
        <v>862</v>
      </c>
      <c r="M38" t="s">
        <v>893</v>
      </c>
      <c r="N38" t="s">
        <v>893</v>
      </c>
      <c r="O38" t="s">
        <v>960</v>
      </c>
      <c r="P38" t="s">
        <v>960</v>
      </c>
      <c r="Q38" t="s">
        <v>964</v>
      </c>
      <c r="R38" t="s">
        <v>964</v>
      </c>
      <c r="S38" t="s">
        <v>965</v>
      </c>
      <c r="T38" t="str">
        <f t="shared" si="0"/>
        <v>OK</v>
      </c>
      <c r="U38" t="str">
        <f>IF(IF(MID(C38,5,1)="-", C38=D38, IF(OR(MID(C38,3,1)="/",MID(C38,3,1)="."), D38=MID(C38,7,4)&amp;"-"&amp;MID(C38,4,2)&amp;"-"&amp;LEFT(C38,2), D38=MID(C38,8,4)&amp;"-"&amp;TEXT(MATCH(MID(C38,4,3),{"Jan","Feb","Mar","Apr","May","Jun","Jul","Aug","Sep","Oct","Nov","Dec"},0),"00")&amp;"-"&amp;LEFT(C38,2))),"OK","CHECK")</f>
        <v>OK</v>
      </c>
    </row>
    <row r="39" spans="1:21" x14ac:dyDescent="0.35">
      <c r="A39" t="s">
        <v>57</v>
      </c>
      <c r="B39">
        <v>1</v>
      </c>
      <c r="C39" t="s">
        <v>255</v>
      </c>
      <c r="D39" t="s">
        <v>252</v>
      </c>
      <c r="E39" t="s">
        <v>512</v>
      </c>
      <c r="F39" t="s">
        <v>512</v>
      </c>
      <c r="G39" t="s">
        <v>551</v>
      </c>
      <c r="H39" t="s">
        <v>551</v>
      </c>
      <c r="I39" t="s">
        <v>730</v>
      </c>
      <c r="J39" t="s">
        <v>730</v>
      </c>
      <c r="K39" t="s">
        <v>860</v>
      </c>
      <c r="L39" t="s">
        <v>860</v>
      </c>
      <c r="M39" t="s">
        <v>890</v>
      </c>
      <c r="N39" t="s">
        <v>890</v>
      </c>
      <c r="O39" t="s">
        <v>959</v>
      </c>
      <c r="P39" t="s">
        <v>959</v>
      </c>
      <c r="Q39" t="s">
        <v>963</v>
      </c>
      <c r="R39" t="s">
        <v>963</v>
      </c>
      <c r="S39" t="s">
        <v>965</v>
      </c>
      <c r="T39" t="str">
        <f t="shared" si="0"/>
        <v>OK</v>
      </c>
      <c r="U39" t="str">
        <f>IF(IF(MID(C39,5,1)="-", C39=D39, IF(OR(MID(C39,3,1)="/",MID(C39,3,1)="."), D39=MID(C39,7,4)&amp;"-"&amp;MID(C39,4,2)&amp;"-"&amp;LEFT(C39,2), D39=MID(C39,8,4)&amp;"-"&amp;TEXT(MATCH(MID(C39,4,3),{"Jan","Feb","Mar","Apr","May","Jun","Jul","Aug","Sep","Oct","Nov","Dec"},0),"00")&amp;"-"&amp;LEFT(C39,2))),"OK","CHECK")</f>
        <v>OK</v>
      </c>
    </row>
    <row r="40" spans="1:21" x14ac:dyDescent="0.35">
      <c r="A40" t="s">
        <v>58</v>
      </c>
      <c r="B40">
        <v>1</v>
      </c>
      <c r="C40" t="s">
        <v>256</v>
      </c>
      <c r="D40" t="s">
        <v>420</v>
      </c>
      <c r="E40" t="s">
        <v>511</v>
      </c>
      <c r="F40" t="s">
        <v>511</v>
      </c>
      <c r="G40" t="s">
        <v>552</v>
      </c>
      <c r="H40" t="s">
        <v>552</v>
      </c>
      <c r="I40" t="s">
        <v>731</v>
      </c>
      <c r="J40" t="s">
        <v>731</v>
      </c>
      <c r="K40" t="s">
        <v>859</v>
      </c>
      <c r="L40" t="s">
        <v>859</v>
      </c>
      <c r="M40" t="s">
        <v>894</v>
      </c>
      <c r="N40" t="s">
        <v>894</v>
      </c>
      <c r="O40" t="s">
        <v>960</v>
      </c>
      <c r="P40" t="s">
        <v>960</v>
      </c>
      <c r="Q40" t="s">
        <v>963</v>
      </c>
      <c r="R40" t="s">
        <v>963</v>
      </c>
      <c r="S40" t="s">
        <v>965</v>
      </c>
      <c r="T40" t="str">
        <f t="shared" si="0"/>
        <v>OK</v>
      </c>
      <c r="U40" t="str">
        <f>IF(IF(MID(C40,5,1)="-", C40=D40, IF(OR(MID(C40,3,1)="/",MID(C40,3,1)="."), D40=MID(C40,7,4)&amp;"-"&amp;MID(C40,4,2)&amp;"-"&amp;LEFT(C40,2), D40=MID(C40,8,4)&amp;"-"&amp;TEXT(MATCH(MID(C40,4,3),{"Jan","Feb","Mar","Apr","May","Jun","Jul","Aug","Sep","Oct","Nov","Dec"},0),"00")&amp;"-"&amp;LEFT(C40,2))),"OK","CHECK")</f>
        <v>OK</v>
      </c>
    </row>
    <row r="41" spans="1:21" x14ac:dyDescent="0.35">
      <c r="A41" t="s">
        <v>59</v>
      </c>
      <c r="B41">
        <v>1</v>
      </c>
      <c r="C41" t="s">
        <v>257</v>
      </c>
      <c r="D41" t="s">
        <v>421</v>
      </c>
      <c r="E41" t="s">
        <v>511</v>
      </c>
      <c r="F41" t="s">
        <v>511</v>
      </c>
      <c r="G41" t="s">
        <v>553</v>
      </c>
      <c r="H41" t="s">
        <v>553</v>
      </c>
      <c r="I41" t="s">
        <v>732</v>
      </c>
      <c r="J41" t="s">
        <v>732</v>
      </c>
      <c r="K41" t="s">
        <v>859</v>
      </c>
      <c r="L41" t="s">
        <v>859</v>
      </c>
      <c r="M41" t="s">
        <v>869</v>
      </c>
      <c r="N41" t="s">
        <v>869</v>
      </c>
      <c r="O41" t="s">
        <v>957</v>
      </c>
      <c r="P41" t="s">
        <v>957</v>
      </c>
      <c r="Q41" t="s">
        <v>961</v>
      </c>
      <c r="R41" t="s">
        <v>961</v>
      </c>
      <c r="S41" t="s">
        <v>965</v>
      </c>
      <c r="T41" t="str">
        <f t="shared" si="0"/>
        <v>OK</v>
      </c>
      <c r="U41" t="str">
        <f>IF(IF(MID(C41,5,1)="-", C41=D41, IF(OR(MID(C41,3,1)="/",MID(C41,3,1)="."), D41=MID(C41,7,4)&amp;"-"&amp;MID(C41,4,2)&amp;"-"&amp;LEFT(C41,2), D41=MID(C41,8,4)&amp;"-"&amp;TEXT(MATCH(MID(C41,4,3),{"Jan","Feb","Mar","Apr","May","Jun","Jul","Aug","Sep","Oct","Nov","Dec"},0),"00")&amp;"-"&amp;LEFT(C41,2))),"OK","CHECK")</f>
        <v>OK</v>
      </c>
    </row>
    <row r="42" spans="1:21" x14ac:dyDescent="0.35">
      <c r="A42" t="s">
        <v>60</v>
      </c>
      <c r="B42">
        <v>1</v>
      </c>
      <c r="C42" t="s">
        <v>258</v>
      </c>
      <c r="D42" t="s">
        <v>422</v>
      </c>
      <c r="E42" t="s">
        <v>509</v>
      </c>
      <c r="F42" t="s">
        <v>509</v>
      </c>
      <c r="G42" t="s">
        <v>554</v>
      </c>
      <c r="H42" t="s">
        <v>554</v>
      </c>
      <c r="I42" t="s">
        <v>733</v>
      </c>
      <c r="J42" t="s">
        <v>733</v>
      </c>
      <c r="K42" t="s">
        <v>857</v>
      </c>
      <c r="L42" t="s">
        <v>857</v>
      </c>
      <c r="M42" t="s">
        <v>892</v>
      </c>
      <c r="N42" t="s">
        <v>892</v>
      </c>
      <c r="O42" t="s">
        <v>957</v>
      </c>
      <c r="P42" t="s">
        <v>957</v>
      </c>
      <c r="Q42" t="s">
        <v>962</v>
      </c>
      <c r="R42" t="s">
        <v>962</v>
      </c>
      <c r="S42" t="s">
        <v>965</v>
      </c>
      <c r="T42" t="str">
        <f t="shared" si="0"/>
        <v>OK</v>
      </c>
      <c r="U42" t="str">
        <f>IF(IF(MID(C42,5,1)="-", C42=D42, IF(OR(MID(C42,3,1)="/",MID(C42,3,1)="."), D42=MID(C42,7,4)&amp;"-"&amp;MID(C42,4,2)&amp;"-"&amp;LEFT(C42,2), D42=MID(C42,8,4)&amp;"-"&amp;TEXT(MATCH(MID(C42,4,3),{"Jan","Feb","Mar","Apr","May","Jun","Jul","Aug","Sep","Oct","Nov","Dec"},0),"00")&amp;"-"&amp;LEFT(C42,2))),"OK","CHECK")</f>
        <v>OK</v>
      </c>
    </row>
    <row r="43" spans="1:21" x14ac:dyDescent="0.35">
      <c r="A43" t="s">
        <v>61</v>
      </c>
      <c r="B43">
        <v>2</v>
      </c>
      <c r="C43" t="s">
        <v>259</v>
      </c>
      <c r="D43" t="s">
        <v>423</v>
      </c>
      <c r="E43" t="s">
        <v>514</v>
      </c>
      <c r="F43" t="s">
        <v>514</v>
      </c>
      <c r="G43" t="s">
        <v>555</v>
      </c>
      <c r="H43" t="s">
        <v>555</v>
      </c>
      <c r="I43" t="s">
        <v>734</v>
      </c>
      <c r="J43" t="s">
        <v>734</v>
      </c>
      <c r="K43" t="s">
        <v>862</v>
      </c>
      <c r="L43" t="s">
        <v>862</v>
      </c>
      <c r="M43" t="s">
        <v>895</v>
      </c>
      <c r="N43" t="s">
        <v>895</v>
      </c>
      <c r="O43" t="s">
        <v>957</v>
      </c>
      <c r="P43" t="s">
        <v>957</v>
      </c>
      <c r="Q43" t="s">
        <v>963</v>
      </c>
      <c r="R43" t="s">
        <v>963</v>
      </c>
      <c r="S43" t="s">
        <v>965</v>
      </c>
      <c r="T43" t="str">
        <f t="shared" si="0"/>
        <v>OK</v>
      </c>
      <c r="U43" t="str">
        <f>IF(IF(MID(C43,5,1)="-", C43=D43, IF(OR(MID(C43,3,1)="/",MID(C43,3,1)="."), D43=MID(C43,7,4)&amp;"-"&amp;MID(C43,4,2)&amp;"-"&amp;LEFT(C43,2), D43=MID(C43,8,4)&amp;"-"&amp;TEXT(MATCH(MID(C43,4,3),{"Jan","Feb","Mar","Apr","May","Jun","Jul","Aug","Sep","Oct","Nov","Dec"},0),"00")&amp;"-"&amp;LEFT(C43,2))),"OK","CHECK")</f>
        <v>OK</v>
      </c>
    </row>
    <row r="44" spans="1:21" x14ac:dyDescent="0.35">
      <c r="A44" t="s">
        <v>62</v>
      </c>
      <c r="B44">
        <v>1</v>
      </c>
      <c r="C44" t="s">
        <v>260</v>
      </c>
      <c r="D44" t="s">
        <v>424</v>
      </c>
      <c r="E44" t="s">
        <v>512</v>
      </c>
      <c r="F44" t="s">
        <v>512</v>
      </c>
      <c r="G44" t="s">
        <v>556</v>
      </c>
      <c r="H44" t="s">
        <v>556</v>
      </c>
      <c r="I44" t="s">
        <v>735</v>
      </c>
      <c r="J44" t="s">
        <v>735</v>
      </c>
      <c r="K44" t="s">
        <v>860</v>
      </c>
      <c r="L44" t="s">
        <v>860</v>
      </c>
      <c r="M44" t="s">
        <v>886</v>
      </c>
      <c r="N44" t="s">
        <v>886</v>
      </c>
      <c r="O44" t="s">
        <v>957</v>
      </c>
      <c r="P44" t="s">
        <v>957</v>
      </c>
      <c r="Q44" t="s">
        <v>961</v>
      </c>
      <c r="R44" t="s">
        <v>961</v>
      </c>
      <c r="S44" t="s">
        <v>965</v>
      </c>
      <c r="T44" t="str">
        <f t="shared" si="0"/>
        <v>OK</v>
      </c>
      <c r="U44" t="str">
        <f>IF(IF(MID(C44,5,1)="-", C44=D44, IF(OR(MID(C44,3,1)="/",MID(C44,3,1)="."), D44=MID(C44,7,4)&amp;"-"&amp;MID(C44,4,2)&amp;"-"&amp;LEFT(C44,2), D44=MID(C44,8,4)&amp;"-"&amp;TEXT(MATCH(MID(C44,4,3),{"Jan","Feb","Mar","Apr","May","Jun","Jul","Aug","Sep","Oct","Nov","Dec"},0),"00")&amp;"-"&amp;LEFT(C44,2))),"OK","CHECK")</f>
        <v>OK</v>
      </c>
    </row>
    <row r="45" spans="1:21" x14ac:dyDescent="0.35">
      <c r="A45" t="s">
        <v>63</v>
      </c>
      <c r="B45">
        <v>1</v>
      </c>
      <c r="C45" t="s">
        <v>261</v>
      </c>
      <c r="D45" t="s">
        <v>425</v>
      </c>
      <c r="E45" t="s">
        <v>511</v>
      </c>
      <c r="F45" t="s">
        <v>511</v>
      </c>
      <c r="G45" t="s">
        <v>557</v>
      </c>
      <c r="H45" t="s">
        <v>557</v>
      </c>
      <c r="I45" t="s">
        <v>736</v>
      </c>
      <c r="J45" t="s">
        <v>736</v>
      </c>
      <c r="K45" t="s">
        <v>859</v>
      </c>
      <c r="L45" t="s">
        <v>859</v>
      </c>
      <c r="M45" t="s">
        <v>896</v>
      </c>
      <c r="N45" t="s">
        <v>896</v>
      </c>
      <c r="O45" t="s">
        <v>959</v>
      </c>
      <c r="P45" t="s">
        <v>959</v>
      </c>
      <c r="Q45" t="s">
        <v>961</v>
      </c>
      <c r="R45" t="s">
        <v>961</v>
      </c>
      <c r="S45" t="s">
        <v>965</v>
      </c>
      <c r="T45" t="str">
        <f t="shared" si="0"/>
        <v>OK</v>
      </c>
      <c r="U45" t="str">
        <f>IF(IF(MID(C45,5,1)="-", C45=D45, IF(OR(MID(C45,3,1)="/",MID(C45,3,1)="."), D45=MID(C45,7,4)&amp;"-"&amp;MID(C45,4,2)&amp;"-"&amp;LEFT(C45,2), D45=MID(C45,8,4)&amp;"-"&amp;TEXT(MATCH(MID(C45,4,3),{"Jan","Feb","Mar","Apr","May","Jun","Jul","Aug","Sep","Oct","Nov","Dec"},0),"00")&amp;"-"&amp;LEFT(C45,2))),"OK","CHECK")</f>
        <v>OK</v>
      </c>
    </row>
    <row r="46" spans="1:21" x14ac:dyDescent="0.35">
      <c r="A46" t="s">
        <v>64</v>
      </c>
      <c r="B46">
        <v>1</v>
      </c>
      <c r="C46" t="s">
        <v>262</v>
      </c>
      <c r="D46" t="s">
        <v>426</v>
      </c>
      <c r="E46" t="s">
        <v>514</v>
      </c>
      <c r="F46" t="s">
        <v>514</v>
      </c>
      <c r="G46" t="s">
        <v>558</v>
      </c>
      <c r="H46" t="s">
        <v>558</v>
      </c>
      <c r="I46" t="s">
        <v>737</v>
      </c>
      <c r="J46" t="s">
        <v>737</v>
      </c>
      <c r="K46" t="s">
        <v>862</v>
      </c>
      <c r="L46" t="s">
        <v>862</v>
      </c>
      <c r="M46" t="s">
        <v>897</v>
      </c>
      <c r="N46" t="s">
        <v>897</v>
      </c>
      <c r="O46" t="s">
        <v>960</v>
      </c>
      <c r="P46" t="s">
        <v>960</v>
      </c>
      <c r="Q46" t="s">
        <v>963</v>
      </c>
      <c r="R46" t="s">
        <v>963</v>
      </c>
      <c r="S46" t="s">
        <v>965</v>
      </c>
      <c r="T46" t="str">
        <f t="shared" si="0"/>
        <v>OK</v>
      </c>
      <c r="U46" t="str">
        <f>IF(IF(MID(C46,5,1)="-", C46=D46, IF(OR(MID(C46,3,1)="/",MID(C46,3,1)="."), D46=MID(C46,7,4)&amp;"-"&amp;MID(C46,4,2)&amp;"-"&amp;LEFT(C46,2), D46=MID(C46,8,4)&amp;"-"&amp;TEXT(MATCH(MID(C46,4,3),{"Jan","Feb","Mar","Apr","May","Jun","Jul","Aug","Sep","Oct","Nov","Dec"},0),"00")&amp;"-"&amp;LEFT(C46,2))),"OK","CHECK")</f>
        <v>OK</v>
      </c>
    </row>
    <row r="47" spans="1:21" x14ac:dyDescent="0.35">
      <c r="A47" t="s">
        <v>65</v>
      </c>
      <c r="B47">
        <v>1</v>
      </c>
      <c r="C47" t="s">
        <v>263</v>
      </c>
      <c r="D47" t="s">
        <v>263</v>
      </c>
      <c r="E47" t="s">
        <v>511</v>
      </c>
      <c r="F47" t="s">
        <v>511</v>
      </c>
      <c r="G47" t="s">
        <v>559</v>
      </c>
      <c r="H47" t="s">
        <v>559</v>
      </c>
      <c r="I47" t="s">
        <v>738</v>
      </c>
      <c r="J47" t="s">
        <v>738</v>
      </c>
      <c r="K47" t="s">
        <v>859</v>
      </c>
      <c r="L47" t="s">
        <v>859</v>
      </c>
      <c r="M47" t="s">
        <v>898</v>
      </c>
      <c r="N47" t="s">
        <v>898</v>
      </c>
      <c r="O47" t="s">
        <v>956</v>
      </c>
      <c r="P47" t="s">
        <v>956</v>
      </c>
      <c r="Q47" t="s">
        <v>964</v>
      </c>
      <c r="R47" t="s">
        <v>964</v>
      </c>
      <c r="S47" t="s">
        <v>965</v>
      </c>
      <c r="T47" t="str">
        <f t="shared" si="0"/>
        <v>OK</v>
      </c>
      <c r="U47" t="str">
        <f>IF(IF(MID(C47,5,1)="-", C47=D47, IF(OR(MID(C47,3,1)="/",MID(C47,3,1)="."), D47=MID(C47,7,4)&amp;"-"&amp;MID(C47,4,2)&amp;"-"&amp;LEFT(C47,2), D47=MID(C47,8,4)&amp;"-"&amp;TEXT(MATCH(MID(C47,4,3),{"Jan","Feb","Mar","Apr","May","Jun","Jul","Aug","Sep","Oct","Nov","Dec"},0),"00")&amp;"-"&amp;LEFT(C47,2))),"OK","CHECK")</f>
        <v>OK</v>
      </c>
    </row>
    <row r="48" spans="1:21" x14ac:dyDescent="0.35">
      <c r="A48" t="s">
        <v>66</v>
      </c>
      <c r="B48">
        <v>2</v>
      </c>
      <c r="C48" t="s">
        <v>264</v>
      </c>
      <c r="D48" t="s">
        <v>264</v>
      </c>
      <c r="E48" t="s">
        <v>511</v>
      </c>
      <c r="F48" t="s">
        <v>511</v>
      </c>
      <c r="G48" t="s">
        <v>560</v>
      </c>
      <c r="H48" t="s">
        <v>560</v>
      </c>
      <c r="I48" t="s">
        <v>739</v>
      </c>
      <c r="J48" t="s">
        <v>739</v>
      </c>
      <c r="K48" t="s">
        <v>859</v>
      </c>
      <c r="L48" t="s">
        <v>859</v>
      </c>
      <c r="M48" t="s">
        <v>899</v>
      </c>
      <c r="N48" t="s">
        <v>899</v>
      </c>
      <c r="O48" t="s">
        <v>956</v>
      </c>
      <c r="P48" t="s">
        <v>956</v>
      </c>
      <c r="Q48" t="s">
        <v>964</v>
      </c>
      <c r="R48" t="s">
        <v>964</v>
      </c>
      <c r="S48" t="s">
        <v>965</v>
      </c>
      <c r="T48" t="str">
        <f t="shared" si="0"/>
        <v>OK</v>
      </c>
      <c r="U48" t="str">
        <f>IF(IF(MID(C48,5,1)="-", C48=D48, IF(OR(MID(C48,3,1)="/",MID(C48,3,1)="."), D48=MID(C48,7,4)&amp;"-"&amp;MID(C48,4,2)&amp;"-"&amp;LEFT(C48,2), D48=MID(C48,8,4)&amp;"-"&amp;TEXT(MATCH(MID(C48,4,3),{"Jan","Feb","Mar","Apr","May","Jun","Jul","Aug","Sep","Oct","Nov","Dec"},0),"00")&amp;"-"&amp;LEFT(C48,2))),"OK","CHECK")</f>
        <v>OK</v>
      </c>
    </row>
    <row r="49" spans="1:21" x14ac:dyDescent="0.35">
      <c r="A49" t="s">
        <v>67</v>
      </c>
      <c r="B49">
        <v>1</v>
      </c>
      <c r="C49" t="s">
        <v>265</v>
      </c>
      <c r="D49" t="s">
        <v>427</v>
      </c>
      <c r="E49" t="s">
        <v>511</v>
      </c>
      <c r="F49" t="s">
        <v>511</v>
      </c>
      <c r="G49" t="s">
        <v>561</v>
      </c>
      <c r="H49" t="s">
        <v>561</v>
      </c>
      <c r="I49" t="s">
        <v>740</v>
      </c>
      <c r="J49" t="s">
        <v>740</v>
      </c>
      <c r="K49" t="s">
        <v>859</v>
      </c>
      <c r="L49" t="s">
        <v>859</v>
      </c>
      <c r="M49" t="s">
        <v>900</v>
      </c>
      <c r="N49" t="s">
        <v>900</v>
      </c>
      <c r="O49" t="s">
        <v>960</v>
      </c>
      <c r="P49" t="s">
        <v>960</v>
      </c>
      <c r="Q49" t="s">
        <v>961</v>
      </c>
      <c r="R49" t="s">
        <v>961</v>
      </c>
      <c r="S49" t="s">
        <v>965</v>
      </c>
      <c r="T49" t="str">
        <f t="shared" si="0"/>
        <v>OK</v>
      </c>
      <c r="U49" t="str">
        <f>IF(IF(MID(C49,5,1)="-", C49=D49, IF(OR(MID(C49,3,1)="/",MID(C49,3,1)="."), D49=MID(C49,7,4)&amp;"-"&amp;MID(C49,4,2)&amp;"-"&amp;LEFT(C49,2), D49=MID(C49,8,4)&amp;"-"&amp;TEXT(MATCH(MID(C49,4,3),{"Jan","Feb","Mar","Apr","May","Jun","Jul","Aug","Sep","Oct","Nov","Dec"},0),"00")&amp;"-"&amp;LEFT(C49,2))),"OK","CHECK")</f>
        <v>OK</v>
      </c>
    </row>
    <row r="50" spans="1:21" x14ac:dyDescent="0.35">
      <c r="A50" t="s">
        <v>68</v>
      </c>
      <c r="B50">
        <v>2</v>
      </c>
      <c r="C50" t="s">
        <v>266</v>
      </c>
      <c r="D50" t="s">
        <v>428</v>
      </c>
      <c r="E50" t="s">
        <v>514</v>
      </c>
      <c r="F50" t="s">
        <v>514</v>
      </c>
      <c r="G50" t="s">
        <v>562</v>
      </c>
      <c r="H50" t="s">
        <v>562</v>
      </c>
      <c r="I50" t="s">
        <v>712</v>
      </c>
      <c r="J50" t="s">
        <v>712</v>
      </c>
      <c r="K50" t="s">
        <v>862</v>
      </c>
      <c r="L50" t="s">
        <v>862</v>
      </c>
      <c r="M50" t="s">
        <v>901</v>
      </c>
      <c r="N50" t="s">
        <v>901</v>
      </c>
      <c r="O50" t="s">
        <v>957</v>
      </c>
      <c r="P50" t="s">
        <v>957</v>
      </c>
      <c r="Q50" t="s">
        <v>963</v>
      </c>
      <c r="R50" t="s">
        <v>963</v>
      </c>
      <c r="S50" t="s">
        <v>965</v>
      </c>
      <c r="T50" t="str">
        <f t="shared" si="0"/>
        <v>OK</v>
      </c>
      <c r="U50" t="str">
        <f>IF(IF(MID(C50,5,1)="-", C50=D50, IF(OR(MID(C50,3,1)="/",MID(C50,3,1)="."), D50=MID(C50,7,4)&amp;"-"&amp;MID(C50,4,2)&amp;"-"&amp;LEFT(C50,2), D50=MID(C50,8,4)&amp;"-"&amp;TEXT(MATCH(MID(C50,4,3),{"Jan","Feb","Mar","Apr","May","Jun","Jul","Aug","Sep","Oct","Nov","Dec"},0),"00")&amp;"-"&amp;LEFT(C50,2))),"OK","CHECK")</f>
        <v>OK</v>
      </c>
    </row>
    <row r="51" spans="1:21" x14ac:dyDescent="0.35">
      <c r="A51" t="s">
        <v>69</v>
      </c>
      <c r="B51">
        <v>1</v>
      </c>
      <c r="C51" t="s">
        <v>267</v>
      </c>
      <c r="D51" t="s">
        <v>267</v>
      </c>
      <c r="E51" t="s">
        <v>512</v>
      </c>
      <c r="F51" t="s">
        <v>512</v>
      </c>
      <c r="G51" t="s">
        <v>546</v>
      </c>
      <c r="H51" t="s">
        <v>546</v>
      </c>
      <c r="I51" t="s">
        <v>741</v>
      </c>
      <c r="J51" t="s">
        <v>741</v>
      </c>
      <c r="K51" t="s">
        <v>860</v>
      </c>
      <c r="L51" t="s">
        <v>860</v>
      </c>
      <c r="M51" t="s">
        <v>902</v>
      </c>
      <c r="N51" t="s">
        <v>902</v>
      </c>
      <c r="O51" t="s">
        <v>958</v>
      </c>
      <c r="P51" t="s">
        <v>958</v>
      </c>
      <c r="Q51" t="s">
        <v>964</v>
      </c>
      <c r="R51" t="s">
        <v>964</v>
      </c>
      <c r="S51" t="s">
        <v>965</v>
      </c>
      <c r="T51" t="str">
        <f t="shared" si="0"/>
        <v>OK</v>
      </c>
      <c r="U51" t="str">
        <f>IF(IF(MID(C51,5,1)="-", C51=D51, IF(OR(MID(C51,3,1)="/",MID(C51,3,1)="."), D51=MID(C51,7,4)&amp;"-"&amp;MID(C51,4,2)&amp;"-"&amp;LEFT(C51,2), D51=MID(C51,8,4)&amp;"-"&amp;TEXT(MATCH(MID(C51,4,3),{"Jan","Feb","Mar","Apr","May","Jun","Jul","Aug","Sep","Oct","Nov","Dec"},0),"00")&amp;"-"&amp;LEFT(C51,2))),"OK","CHECK")</f>
        <v>OK</v>
      </c>
    </row>
    <row r="52" spans="1:21" x14ac:dyDescent="0.35">
      <c r="A52" t="s">
        <v>70</v>
      </c>
      <c r="B52">
        <v>1</v>
      </c>
      <c r="C52" t="s">
        <v>268</v>
      </c>
      <c r="D52" t="s">
        <v>429</v>
      </c>
      <c r="E52" t="s">
        <v>514</v>
      </c>
      <c r="F52" t="s">
        <v>514</v>
      </c>
      <c r="G52" t="s">
        <v>563</v>
      </c>
      <c r="H52" t="s">
        <v>563</v>
      </c>
      <c r="I52" t="s">
        <v>742</v>
      </c>
      <c r="J52" t="s">
        <v>742</v>
      </c>
      <c r="K52" t="s">
        <v>862</v>
      </c>
      <c r="L52" t="s">
        <v>862</v>
      </c>
      <c r="M52" t="s">
        <v>872</v>
      </c>
      <c r="N52" t="s">
        <v>872</v>
      </c>
      <c r="O52" t="s">
        <v>956</v>
      </c>
      <c r="P52" t="s">
        <v>956</v>
      </c>
      <c r="Q52" t="s">
        <v>961</v>
      </c>
      <c r="R52" t="s">
        <v>961</v>
      </c>
      <c r="S52" t="s">
        <v>965</v>
      </c>
      <c r="T52" t="str">
        <f t="shared" si="0"/>
        <v>OK</v>
      </c>
      <c r="U52" t="str">
        <f>IF(IF(MID(C52,5,1)="-", C52=D52, IF(OR(MID(C52,3,1)="/",MID(C52,3,1)="."), D52=MID(C52,7,4)&amp;"-"&amp;MID(C52,4,2)&amp;"-"&amp;LEFT(C52,2), D52=MID(C52,8,4)&amp;"-"&amp;TEXT(MATCH(MID(C52,4,3),{"Jan","Feb","Mar","Apr","May","Jun","Jul","Aug","Sep","Oct","Nov","Dec"},0),"00")&amp;"-"&amp;LEFT(C52,2))),"OK","CHECK")</f>
        <v>OK</v>
      </c>
    </row>
    <row r="53" spans="1:21" x14ac:dyDescent="0.35">
      <c r="A53" t="s">
        <v>71</v>
      </c>
      <c r="B53">
        <v>1</v>
      </c>
      <c r="C53" t="s">
        <v>269</v>
      </c>
      <c r="D53" t="s">
        <v>430</v>
      </c>
      <c r="E53" t="s">
        <v>511</v>
      </c>
      <c r="F53" t="s">
        <v>511</v>
      </c>
      <c r="G53" t="s">
        <v>564</v>
      </c>
      <c r="H53" t="s">
        <v>564</v>
      </c>
      <c r="I53" t="s">
        <v>743</v>
      </c>
      <c r="J53" t="s">
        <v>743</v>
      </c>
      <c r="K53" t="s">
        <v>859</v>
      </c>
      <c r="L53" t="s">
        <v>859</v>
      </c>
      <c r="M53" t="s">
        <v>903</v>
      </c>
      <c r="N53" t="s">
        <v>903</v>
      </c>
      <c r="O53" t="s">
        <v>956</v>
      </c>
      <c r="P53" t="s">
        <v>956</v>
      </c>
      <c r="Q53" t="s">
        <v>964</v>
      </c>
      <c r="R53" t="s">
        <v>964</v>
      </c>
      <c r="S53" t="s">
        <v>965</v>
      </c>
      <c r="T53" t="str">
        <f t="shared" si="0"/>
        <v>OK</v>
      </c>
      <c r="U53" t="str">
        <f>IF(IF(MID(C53,5,1)="-", C53=D53, IF(OR(MID(C53,3,1)="/",MID(C53,3,1)="."), D53=MID(C53,7,4)&amp;"-"&amp;MID(C53,4,2)&amp;"-"&amp;LEFT(C53,2), D53=MID(C53,8,4)&amp;"-"&amp;TEXT(MATCH(MID(C53,4,3),{"Jan","Feb","Mar","Apr","May","Jun","Jul","Aug","Sep","Oct","Nov","Dec"},0),"00")&amp;"-"&amp;LEFT(C53,2))),"OK","CHECK")</f>
        <v>OK</v>
      </c>
    </row>
    <row r="54" spans="1:21" x14ac:dyDescent="0.35">
      <c r="A54" t="s">
        <v>72</v>
      </c>
      <c r="B54">
        <v>1</v>
      </c>
      <c r="C54" t="s">
        <v>270</v>
      </c>
      <c r="D54" t="s">
        <v>431</v>
      </c>
      <c r="E54" t="s">
        <v>513</v>
      </c>
      <c r="F54" t="s">
        <v>513</v>
      </c>
      <c r="G54" t="s">
        <v>565</v>
      </c>
      <c r="H54" t="s">
        <v>565</v>
      </c>
      <c r="I54" t="s">
        <v>744</v>
      </c>
      <c r="J54" t="s">
        <v>744</v>
      </c>
      <c r="K54" t="s">
        <v>861</v>
      </c>
      <c r="L54" t="s">
        <v>861</v>
      </c>
      <c r="M54" t="s">
        <v>904</v>
      </c>
      <c r="N54" t="s">
        <v>904</v>
      </c>
      <c r="O54" t="s">
        <v>956</v>
      </c>
      <c r="P54" t="s">
        <v>956</v>
      </c>
      <c r="Q54" t="s">
        <v>963</v>
      </c>
      <c r="R54" t="s">
        <v>963</v>
      </c>
      <c r="S54" t="s">
        <v>965</v>
      </c>
      <c r="T54" t="str">
        <f t="shared" si="0"/>
        <v>OK</v>
      </c>
      <c r="U54" t="str">
        <f>IF(IF(MID(C54,5,1)="-", C54=D54, IF(OR(MID(C54,3,1)="/",MID(C54,3,1)="."), D54=MID(C54,7,4)&amp;"-"&amp;MID(C54,4,2)&amp;"-"&amp;LEFT(C54,2), D54=MID(C54,8,4)&amp;"-"&amp;TEXT(MATCH(MID(C54,4,3),{"Jan","Feb","Mar","Apr","May","Jun","Jul","Aug","Sep","Oct","Nov","Dec"},0),"00")&amp;"-"&amp;LEFT(C54,2))),"OK","CHECK")</f>
        <v>OK</v>
      </c>
    </row>
    <row r="55" spans="1:21" x14ac:dyDescent="0.35">
      <c r="A55" t="s">
        <v>73</v>
      </c>
      <c r="B55">
        <v>1</v>
      </c>
      <c r="C55" t="s">
        <v>271</v>
      </c>
      <c r="D55" t="s">
        <v>337</v>
      </c>
      <c r="E55" t="s">
        <v>513</v>
      </c>
      <c r="F55" t="s">
        <v>513</v>
      </c>
      <c r="G55" t="s">
        <v>566</v>
      </c>
      <c r="H55" t="s">
        <v>566</v>
      </c>
      <c r="I55" t="s">
        <v>745</v>
      </c>
      <c r="J55" t="s">
        <v>745</v>
      </c>
      <c r="K55" t="s">
        <v>861</v>
      </c>
      <c r="L55" t="s">
        <v>861</v>
      </c>
      <c r="M55" t="s">
        <v>905</v>
      </c>
      <c r="N55" t="s">
        <v>905</v>
      </c>
      <c r="O55" t="s">
        <v>960</v>
      </c>
      <c r="P55" t="s">
        <v>960</v>
      </c>
      <c r="Q55" t="s">
        <v>961</v>
      </c>
      <c r="R55" t="s">
        <v>961</v>
      </c>
      <c r="S55" t="s">
        <v>965</v>
      </c>
      <c r="T55" t="str">
        <f t="shared" si="0"/>
        <v>OK</v>
      </c>
      <c r="U55" t="str">
        <f>IF(IF(MID(C55,5,1)="-", C55=D55, IF(OR(MID(C55,3,1)="/",MID(C55,3,1)="."), D55=MID(C55,7,4)&amp;"-"&amp;MID(C55,4,2)&amp;"-"&amp;LEFT(C55,2), D55=MID(C55,8,4)&amp;"-"&amp;TEXT(MATCH(MID(C55,4,3),{"Jan","Feb","Mar","Apr","May","Jun","Jul","Aug","Sep","Oct","Nov","Dec"},0),"00")&amp;"-"&amp;LEFT(C55,2))),"OK","CHECK")</f>
        <v>OK</v>
      </c>
    </row>
    <row r="56" spans="1:21" x14ac:dyDescent="0.35">
      <c r="A56" t="s">
        <v>74</v>
      </c>
      <c r="B56">
        <v>1</v>
      </c>
      <c r="C56" t="s">
        <v>272</v>
      </c>
      <c r="D56" t="s">
        <v>272</v>
      </c>
      <c r="E56" t="s">
        <v>511</v>
      </c>
      <c r="F56" t="s">
        <v>511</v>
      </c>
      <c r="G56" t="s">
        <v>567</v>
      </c>
      <c r="H56" t="s">
        <v>567</v>
      </c>
      <c r="I56" t="s">
        <v>746</v>
      </c>
      <c r="J56" t="s">
        <v>746</v>
      </c>
      <c r="K56" t="s">
        <v>859</v>
      </c>
      <c r="L56" t="s">
        <v>859</v>
      </c>
      <c r="M56" t="s">
        <v>875</v>
      </c>
      <c r="N56" t="s">
        <v>875</v>
      </c>
      <c r="O56" t="s">
        <v>956</v>
      </c>
      <c r="P56" t="s">
        <v>956</v>
      </c>
      <c r="Q56" t="s">
        <v>962</v>
      </c>
      <c r="R56" t="s">
        <v>962</v>
      </c>
      <c r="S56" t="s">
        <v>965</v>
      </c>
      <c r="T56" t="str">
        <f t="shared" si="0"/>
        <v>OK</v>
      </c>
      <c r="U56" t="str">
        <f>IF(IF(MID(C56,5,1)="-", C56=D56, IF(OR(MID(C56,3,1)="/",MID(C56,3,1)="."), D56=MID(C56,7,4)&amp;"-"&amp;MID(C56,4,2)&amp;"-"&amp;LEFT(C56,2), D56=MID(C56,8,4)&amp;"-"&amp;TEXT(MATCH(MID(C56,4,3),{"Jan","Feb","Mar","Apr","May","Jun","Jul","Aug","Sep","Oct","Nov","Dec"},0),"00")&amp;"-"&amp;LEFT(C56,2))),"OK","CHECK")</f>
        <v>OK</v>
      </c>
    </row>
    <row r="57" spans="1:21" x14ac:dyDescent="0.35">
      <c r="A57" t="s">
        <v>75</v>
      </c>
      <c r="B57">
        <v>1</v>
      </c>
      <c r="C57" t="s">
        <v>273</v>
      </c>
      <c r="D57" t="s">
        <v>432</v>
      </c>
      <c r="E57" t="s">
        <v>510</v>
      </c>
      <c r="F57" t="s">
        <v>510</v>
      </c>
      <c r="G57" t="s">
        <v>568</v>
      </c>
      <c r="H57" t="s">
        <v>568</v>
      </c>
      <c r="I57" t="s">
        <v>747</v>
      </c>
      <c r="J57" t="s">
        <v>747</v>
      </c>
      <c r="K57" t="s">
        <v>858</v>
      </c>
      <c r="L57" t="s">
        <v>858</v>
      </c>
      <c r="M57" t="s">
        <v>906</v>
      </c>
      <c r="N57" t="s">
        <v>906</v>
      </c>
      <c r="O57" t="s">
        <v>958</v>
      </c>
      <c r="P57" t="s">
        <v>958</v>
      </c>
      <c r="Q57" t="s">
        <v>962</v>
      </c>
      <c r="R57" t="s">
        <v>962</v>
      </c>
      <c r="S57" t="s">
        <v>965</v>
      </c>
      <c r="T57" t="str">
        <f t="shared" si="0"/>
        <v>OK</v>
      </c>
      <c r="U57" t="str">
        <f>IF(IF(MID(C57,5,1)="-", C57=D57, IF(OR(MID(C57,3,1)="/",MID(C57,3,1)="."), D57=MID(C57,7,4)&amp;"-"&amp;MID(C57,4,2)&amp;"-"&amp;LEFT(C57,2), D57=MID(C57,8,4)&amp;"-"&amp;TEXT(MATCH(MID(C57,4,3),{"Jan","Feb","Mar","Apr","May","Jun","Jul","Aug","Sep","Oct","Nov","Dec"},0),"00")&amp;"-"&amp;LEFT(C57,2))),"OK","CHECK")</f>
        <v>OK</v>
      </c>
    </row>
    <row r="58" spans="1:21" x14ac:dyDescent="0.35">
      <c r="A58" t="s">
        <v>76</v>
      </c>
      <c r="B58">
        <v>1</v>
      </c>
      <c r="C58" t="s">
        <v>274</v>
      </c>
      <c r="D58" t="s">
        <v>433</v>
      </c>
      <c r="E58" t="s">
        <v>510</v>
      </c>
      <c r="F58" t="s">
        <v>510</v>
      </c>
      <c r="G58" t="s">
        <v>548</v>
      </c>
      <c r="H58" t="s">
        <v>548</v>
      </c>
      <c r="I58" t="s">
        <v>748</v>
      </c>
      <c r="J58" t="s">
        <v>748</v>
      </c>
      <c r="K58" t="s">
        <v>858</v>
      </c>
      <c r="L58" t="s">
        <v>858</v>
      </c>
      <c r="M58" t="s">
        <v>907</v>
      </c>
      <c r="N58" t="s">
        <v>907</v>
      </c>
      <c r="O58" t="s">
        <v>959</v>
      </c>
      <c r="P58" t="s">
        <v>959</v>
      </c>
      <c r="Q58" t="s">
        <v>963</v>
      </c>
      <c r="R58" t="s">
        <v>963</v>
      </c>
      <c r="S58" t="s">
        <v>965</v>
      </c>
      <c r="T58" t="str">
        <f t="shared" si="0"/>
        <v>OK</v>
      </c>
      <c r="U58" t="str">
        <f>IF(IF(MID(C58,5,1)="-", C58=D58, IF(OR(MID(C58,3,1)="/",MID(C58,3,1)="."), D58=MID(C58,7,4)&amp;"-"&amp;MID(C58,4,2)&amp;"-"&amp;LEFT(C58,2), D58=MID(C58,8,4)&amp;"-"&amp;TEXT(MATCH(MID(C58,4,3),{"Jan","Feb","Mar","Apr","May","Jun","Jul","Aug","Sep","Oct","Nov","Dec"},0),"00")&amp;"-"&amp;LEFT(C58,2))),"OK","CHECK")</f>
        <v>OK</v>
      </c>
    </row>
    <row r="59" spans="1:21" x14ac:dyDescent="0.35">
      <c r="A59" t="s">
        <v>77</v>
      </c>
      <c r="B59">
        <v>1</v>
      </c>
      <c r="C59" t="s">
        <v>275</v>
      </c>
      <c r="D59" t="s">
        <v>434</v>
      </c>
      <c r="E59" t="s">
        <v>510</v>
      </c>
      <c r="F59" t="s">
        <v>510</v>
      </c>
      <c r="G59" t="s">
        <v>569</v>
      </c>
      <c r="H59" t="s">
        <v>569</v>
      </c>
      <c r="I59" t="s">
        <v>749</v>
      </c>
      <c r="J59" t="s">
        <v>749</v>
      </c>
      <c r="K59" t="s">
        <v>858</v>
      </c>
      <c r="L59" t="s">
        <v>858</v>
      </c>
      <c r="M59" t="s">
        <v>867</v>
      </c>
      <c r="N59" t="s">
        <v>867</v>
      </c>
      <c r="O59" t="s">
        <v>956</v>
      </c>
      <c r="P59" t="s">
        <v>956</v>
      </c>
      <c r="Q59" t="s">
        <v>963</v>
      </c>
      <c r="R59" t="s">
        <v>963</v>
      </c>
      <c r="S59" t="s">
        <v>965</v>
      </c>
      <c r="T59" t="str">
        <f t="shared" si="0"/>
        <v>OK</v>
      </c>
      <c r="U59" t="str">
        <f>IF(IF(MID(C59,5,1)="-", C59=D59, IF(OR(MID(C59,3,1)="/",MID(C59,3,1)="."), D59=MID(C59,7,4)&amp;"-"&amp;MID(C59,4,2)&amp;"-"&amp;LEFT(C59,2), D59=MID(C59,8,4)&amp;"-"&amp;TEXT(MATCH(MID(C59,4,3),{"Jan","Feb","Mar","Apr","May","Jun","Jul","Aug","Sep","Oct","Nov","Dec"},0),"00")&amp;"-"&amp;LEFT(C59,2))),"OK","CHECK")</f>
        <v>OK</v>
      </c>
    </row>
    <row r="60" spans="1:21" x14ac:dyDescent="0.35">
      <c r="A60" t="s">
        <v>78</v>
      </c>
      <c r="B60">
        <v>1</v>
      </c>
      <c r="C60" t="s">
        <v>276</v>
      </c>
      <c r="D60" t="s">
        <v>276</v>
      </c>
      <c r="E60" t="s">
        <v>511</v>
      </c>
      <c r="F60" t="s">
        <v>511</v>
      </c>
      <c r="G60" t="s">
        <v>570</v>
      </c>
      <c r="H60" t="s">
        <v>570</v>
      </c>
      <c r="I60" t="s">
        <v>750</v>
      </c>
      <c r="J60" t="s">
        <v>750</v>
      </c>
      <c r="K60" t="s">
        <v>859</v>
      </c>
      <c r="L60" t="s">
        <v>859</v>
      </c>
      <c r="M60" t="s">
        <v>908</v>
      </c>
      <c r="N60" t="s">
        <v>908</v>
      </c>
      <c r="O60" t="s">
        <v>958</v>
      </c>
      <c r="P60" t="s">
        <v>958</v>
      </c>
      <c r="Q60" t="s">
        <v>963</v>
      </c>
      <c r="R60" t="s">
        <v>963</v>
      </c>
      <c r="S60" t="s">
        <v>965</v>
      </c>
      <c r="T60" t="str">
        <f t="shared" si="0"/>
        <v>OK</v>
      </c>
      <c r="U60" t="str">
        <f>IF(IF(MID(C60,5,1)="-", C60=D60, IF(OR(MID(C60,3,1)="/",MID(C60,3,1)="."), D60=MID(C60,7,4)&amp;"-"&amp;MID(C60,4,2)&amp;"-"&amp;LEFT(C60,2), D60=MID(C60,8,4)&amp;"-"&amp;TEXT(MATCH(MID(C60,4,3),{"Jan","Feb","Mar","Apr","May","Jun","Jul","Aug","Sep","Oct","Nov","Dec"},0),"00")&amp;"-"&amp;LEFT(C60,2))),"OK","CHECK")</f>
        <v>OK</v>
      </c>
    </row>
    <row r="61" spans="1:21" x14ac:dyDescent="0.35">
      <c r="A61" t="s">
        <v>79</v>
      </c>
      <c r="B61">
        <v>1</v>
      </c>
      <c r="C61" t="s">
        <v>277</v>
      </c>
      <c r="D61" t="s">
        <v>277</v>
      </c>
      <c r="E61" t="s">
        <v>512</v>
      </c>
      <c r="F61" t="s">
        <v>512</v>
      </c>
      <c r="G61" t="s">
        <v>571</v>
      </c>
      <c r="H61" t="s">
        <v>571</v>
      </c>
      <c r="I61" t="s">
        <v>751</v>
      </c>
      <c r="J61" t="s">
        <v>751</v>
      </c>
      <c r="K61" t="s">
        <v>860</v>
      </c>
      <c r="L61" t="s">
        <v>860</v>
      </c>
      <c r="M61" t="s">
        <v>883</v>
      </c>
      <c r="N61" t="s">
        <v>883</v>
      </c>
      <c r="O61" t="s">
        <v>956</v>
      </c>
      <c r="P61" t="s">
        <v>956</v>
      </c>
      <c r="Q61" t="s">
        <v>962</v>
      </c>
      <c r="R61" t="s">
        <v>962</v>
      </c>
      <c r="S61" t="s">
        <v>965</v>
      </c>
      <c r="T61" t="str">
        <f t="shared" si="0"/>
        <v>OK</v>
      </c>
      <c r="U61" t="str">
        <f>IF(IF(MID(C61,5,1)="-", C61=D61, IF(OR(MID(C61,3,1)="/",MID(C61,3,1)="."), D61=MID(C61,7,4)&amp;"-"&amp;MID(C61,4,2)&amp;"-"&amp;LEFT(C61,2), D61=MID(C61,8,4)&amp;"-"&amp;TEXT(MATCH(MID(C61,4,3),{"Jan","Feb","Mar","Apr","May","Jun","Jul","Aug","Sep","Oct","Nov","Dec"},0),"00")&amp;"-"&amp;LEFT(C61,2))),"OK","CHECK")</f>
        <v>OK</v>
      </c>
    </row>
    <row r="62" spans="1:21" x14ac:dyDescent="0.35">
      <c r="A62" t="s">
        <v>80</v>
      </c>
      <c r="B62">
        <v>1</v>
      </c>
      <c r="C62" t="s">
        <v>278</v>
      </c>
      <c r="D62" t="s">
        <v>435</v>
      </c>
      <c r="E62" t="s">
        <v>510</v>
      </c>
      <c r="F62" t="s">
        <v>510</v>
      </c>
      <c r="G62" t="s">
        <v>572</v>
      </c>
      <c r="H62" t="s">
        <v>572</v>
      </c>
      <c r="I62" t="s">
        <v>752</v>
      </c>
      <c r="J62" t="s">
        <v>752</v>
      </c>
      <c r="K62" t="s">
        <v>858</v>
      </c>
      <c r="L62" t="s">
        <v>858</v>
      </c>
      <c r="M62" t="s">
        <v>896</v>
      </c>
      <c r="N62" t="s">
        <v>896</v>
      </c>
      <c r="O62" t="s">
        <v>957</v>
      </c>
      <c r="P62" t="s">
        <v>957</v>
      </c>
      <c r="Q62" t="s">
        <v>961</v>
      </c>
      <c r="R62" t="s">
        <v>961</v>
      </c>
      <c r="S62" t="s">
        <v>965</v>
      </c>
      <c r="T62" t="str">
        <f t="shared" si="0"/>
        <v>OK</v>
      </c>
      <c r="U62" t="str">
        <f>IF(IF(MID(C62,5,1)="-", C62=D62, IF(OR(MID(C62,3,1)="/",MID(C62,3,1)="."), D62=MID(C62,7,4)&amp;"-"&amp;MID(C62,4,2)&amp;"-"&amp;LEFT(C62,2), D62=MID(C62,8,4)&amp;"-"&amp;TEXT(MATCH(MID(C62,4,3),{"Jan","Feb","Mar","Apr","May","Jun","Jul","Aug","Sep","Oct","Nov","Dec"},0),"00")&amp;"-"&amp;LEFT(C62,2))),"OK","CHECK")</f>
        <v>OK</v>
      </c>
    </row>
    <row r="63" spans="1:21" x14ac:dyDescent="0.35">
      <c r="A63" t="s">
        <v>81</v>
      </c>
      <c r="B63">
        <v>1</v>
      </c>
      <c r="C63" t="s">
        <v>279</v>
      </c>
      <c r="D63" t="s">
        <v>279</v>
      </c>
      <c r="E63" t="s">
        <v>512</v>
      </c>
      <c r="F63" t="s">
        <v>512</v>
      </c>
      <c r="G63" t="s">
        <v>573</v>
      </c>
      <c r="H63" t="s">
        <v>573</v>
      </c>
      <c r="I63" t="s">
        <v>753</v>
      </c>
      <c r="J63" t="s">
        <v>753</v>
      </c>
      <c r="K63" t="s">
        <v>860</v>
      </c>
      <c r="L63" t="s">
        <v>860</v>
      </c>
      <c r="M63" t="s">
        <v>905</v>
      </c>
      <c r="N63" t="s">
        <v>905</v>
      </c>
      <c r="O63" t="s">
        <v>960</v>
      </c>
      <c r="P63" t="s">
        <v>960</v>
      </c>
      <c r="Q63" t="s">
        <v>963</v>
      </c>
      <c r="R63" t="s">
        <v>963</v>
      </c>
      <c r="S63" t="s">
        <v>965</v>
      </c>
      <c r="T63" t="str">
        <f t="shared" si="0"/>
        <v>OK</v>
      </c>
      <c r="U63" t="str">
        <f>IF(IF(MID(C63,5,1)="-", C63=D63, IF(OR(MID(C63,3,1)="/",MID(C63,3,1)="."), D63=MID(C63,7,4)&amp;"-"&amp;MID(C63,4,2)&amp;"-"&amp;LEFT(C63,2), D63=MID(C63,8,4)&amp;"-"&amp;TEXT(MATCH(MID(C63,4,3),{"Jan","Feb","Mar","Apr","May","Jun","Jul","Aug","Sep","Oct","Nov","Dec"},0),"00")&amp;"-"&amp;LEFT(C63,2))),"OK","CHECK")</f>
        <v>OK</v>
      </c>
    </row>
    <row r="64" spans="1:21" x14ac:dyDescent="0.35">
      <c r="A64" t="s">
        <v>82</v>
      </c>
      <c r="B64">
        <v>1</v>
      </c>
      <c r="C64" t="s">
        <v>280</v>
      </c>
      <c r="D64" t="s">
        <v>280</v>
      </c>
      <c r="E64" t="s">
        <v>514</v>
      </c>
      <c r="F64" t="s">
        <v>514</v>
      </c>
      <c r="G64" t="s">
        <v>558</v>
      </c>
      <c r="H64" t="s">
        <v>558</v>
      </c>
      <c r="I64" t="s">
        <v>754</v>
      </c>
      <c r="J64" t="s">
        <v>754</v>
      </c>
      <c r="K64" t="s">
        <v>862</v>
      </c>
      <c r="L64" t="s">
        <v>862</v>
      </c>
      <c r="M64" t="s">
        <v>909</v>
      </c>
      <c r="N64" t="s">
        <v>909</v>
      </c>
      <c r="O64" t="s">
        <v>956</v>
      </c>
      <c r="P64" t="s">
        <v>956</v>
      </c>
      <c r="Q64" t="s">
        <v>962</v>
      </c>
      <c r="R64" t="s">
        <v>962</v>
      </c>
      <c r="S64" t="s">
        <v>965</v>
      </c>
      <c r="T64" t="str">
        <f t="shared" si="0"/>
        <v>OK</v>
      </c>
      <c r="U64" t="str">
        <f>IF(IF(MID(C64,5,1)="-", C64=D64, IF(OR(MID(C64,3,1)="/",MID(C64,3,1)="."), D64=MID(C64,7,4)&amp;"-"&amp;MID(C64,4,2)&amp;"-"&amp;LEFT(C64,2), D64=MID(C64,8,4)&amp;"-"&amp;TEXT(MATCH(MID(C64,4,3),{"Jan","Feb","Mar","Apr","May","Jun","Jul","Aug","Sep","Oct","Nov","Dec"},0),"00")&amp;"-"&amp;LEFT(C64,2))),"OK","CHECK")</f>
        <v>OK</v>
      </c>
    </row>
    <row r="65" spans="1:21" x14ac:dyDescent="0.35">
      <c r="A65" t="s">
        <v>83</v>
      </c>
      <c r="B65">
        <v>1</v>
      </c>
      <c r="C65" t="s">
        <v>281</v>
      </c>
      <c r="D65" t="s">
        <v>436</v>
      </c>
      <c r="E65" t="s">
        <v>509</v>
      </c>
      <c r="F65" t="s">
        <v>509</v>
      </c>
      <c r="G65" t="s">
        <v>574</v>
      </c>
      <c r="H65" t="s">
        <v>574</v>
      </c>
      <c r="I65" t="s">
        <v>744</v>
      </c>
      <c r="J65" t="s">
        <v>744</v>
      </c>
      <c r="K65" t="s">
        <v>857</v>
      </c>
      <c r="L65" t="s">
        <v>857</v>
      </c>
      <c r="M65" t="s">
        <v>896</v>
      </c>
      <c r="N65" t="s">
        <v>896</v>
      </c>
      <c r="O65" t="s">
        <v>958</v>
      </c>
      <c r="P65" t="s">
        <v>958</v>
      </c>
      <c r="Q65" t="s">
        <v>963</v>
      </c>
      <c r="R65" t="s">
        <v>963</v>
      </c>
      <c r="S65" t="s">
        <v>965</v>
      </c>
      <c r="T65" t="str">
        <f t="shared" si="0"/>
        <v>OK</v>
      </c>
      <c r="U65" t="str">
        <f>IF(IF(MID(C65,5,1)="-", C65=D65, IF(OR(MID(C65,3,1)="/",MID(C65,3,1)="."), D65=MID(C65,7,4)&amp;"-"&amp;MID(C65,4,2)&amp;"-"&amp;LEFT(C65,2), D65=MID(C65,8,4)&amp;"-"&amp;TEXT(MATCH(MID(C65,4,3),{"Jan","Feb","Mar","Apr","May","Jun","Jul","Aug","Sep","Oct","Nov","Dec"},0),"00")&amp;"-"&amp;LEFT(C65,2))),"OK","CHECK")</f>
        <v>OK</v>
      </c>
    </row>
    <row r="66" spans="1:21" x14ac:dyDescent="0.35">
      <c r="A66" t="s">
        <v>84</v>
      </c>
      <c r="B66">
        <v>1</v>
      </c>
      <c r="C66" t="s">
        <v>282</v>
      </c>
      <c r="D66" t="s">
        <v>437</v>
      </c>
      <c r="E66" t="s">
        <v>510</v>
      </c>
      <c r="F66" t="s">
        <v>510</v>
      </c>
      <c r="G66" t="s">
        <v>575</v>
      </c>
      <c r="H66" t="s">
        <v>575</v>
      </c>
      <c r="I66" t="s">
        <v>755</v>
      </c>
      <c r="J66" t="s">
        <v>755</v>
      </c>
      <c r="K66" t="s">
        <v>858</v>
      </c>
      <c r="L66" t="s">
        <v>858</v>
      </c>
      <c r="M66" t="s">
        <v>888</v>
      </c>
      <c r="N66" t="s">
        <v>888</v>
      </c>
      <c r="O66" t="s">
        <v>957</v>
      </c>
      <c r="P66" t="s">
        <v>957</v>
      </c>
      <c r="Q66" t="s">
        <v>964</v>
      </c>
      <c r="R66" t="s">
        <v>964</v>
      </c>
      <c r="S66" t="s">
        <v>965</v>
      </c>
      <c r="T66" t="str">
        <f t="shared" si="0"/>
        <v>OK</v>
      </c>
      <c r="U66" t="str">
        <f>IF(IF(MID(C66,5,1)="-", C66=D66, IF(OR(MID(C66,3,1)="/",MID(C66,3,1)="."), D66=MID(C66,7,4)&amp;"-"&amp;MID(C66,4,2)&amp;"-"&amp;LEFT(C66,2), D66=MID(C66,8,4)&amp;"-"&amp;TEXT(MATCH(MID(C66,4,3),{"Jan","Feb","Mar","Apr","May","Jun","Jul","Aug","Sep","Oct","Nov","Dec"},0),"00")&amp;"-"&amp;LEFT(C66,2))),"OK","CHECK")</f>
        <v>OK</v>
      </c>
    </row>
    <row r="67" spans="1:21" x14ac:dyDescent="0.35">
      <c r="A67" t="s">
        <v>85</v>
      </c>
      <c r="B67">
        <v>1</v>
      </c>
      <c r="C67" t="s">
        <v>283</v>
      </c>
      <c r="D67" t="s">
        <v>438</v>
      </c>
      <c r="E67" t="s">
        <v>513</v>
      </c>
      <c r="F67" t="s">
        <v>513</v>
      </c>
      <c r="G67" t="s">
        <v>576</v>
      </c>
      <c r="H67" t="s">
        <v>576</v>
      </c>
      <c r="I67" t="s">
        <v>756</v>
      </c>
      <c r="J67" t="s">
        <v>756</v>
      </c>
      <c r="K67" t="s">
        <v>861</v>
      </c>
      <c r="L67" t="s">
        <v>861</v>
      </c>
      <c r="M67" t="s">
        <v>864</v>
      </c>
      <c r="N67" t="s">
        <v>864</v>
      </c>
      <c r="O67" t="s">
        <v>957</v>
      </c>
      <c r="P67" t="s">
        <v>957</v>
      </c>
      <c r="Q67" t="s">
        <v>964</v>
      </c>
      <c r="R67" t="s">
        <v>964</v>
      </c>
      <c r="S67" t="s">
        <v>965</v>
      </c>
      <c r="T67" t="str">
        <f t="shared" ref="T67:T130" si="1">IF(AND(E67=F67, G67=H67, Q67=R67, IF(I67="", AND(J67="", S67="1"), AND(I67=J67, S67="0")), IF(K67="", L67&lt;&gt;"", K67=L67), IF(M67="", N67="Unknown", M67=N67), IF(O67="", P67="Unknown", O67=P67)), "OK", "CHECK")</f>
        <v>OK</v>
      </c>
      <c r="U67" t="str">
        <f>IF(IF(MID(C67,5,1)="-", C67=D67, IF(OR(MID(C67,3,1)="/",MID(C67,3,1)="."), D67=MID(C67,7,4)&amp;"-"&amp;MID(C67,4,2)&amp;"-"&amp;LEFT(C67,2), D67=MID(C67,8,4)&amp;"-"&amp;TEXT(MATCH(MID(C67,4,3),{"Jan","Feb","Mar","Apr","May","Jun","Jul","Aug","Sep","Oct","Nov","Dec"},0),"00")&amp;"-"&amp;LEFT(C67,2))),"OK","CHECK")</f>
        <v>OK</v>
      </c>
    </row>
    <row r="68" spans="1:21" x14ac:dyDescent="0.35">
      <c r="A68" t="s">
        <v>86</v>
      </c>
      <c r="B68">
        <v>1</v>
      </c>
      <c r="C68" t="s">
        <v>284</v>
      </c>
      <c r="D68" t="s">
        <v>333</v>
      </c>
      <c r="E68" t="s">
        <v>512</v>
      </c>
      <c r="F68" t="s">
        <v>512</v>
      </c>
      <c r="G68" t="s">
        <v>577</v>
      </c>
      <c r="H68" t="s">
        <v>577</v>
      </c>
      <c r="I68" t="s">
        <v>757</v>
      </c>
      <c r="J68" t="s">
        <v>757</v>
      </c>
      <c r="K68" t="s">
        <v>860</v>
      </c>
      <c r="L68" t="s">
        <v>860</v>
      </c>
      <c r="M68" t="s">
        <v>880</v>
      </c>
      <c r="N68" t="s">
        <v>880</v>
      </c>
      <c r="O68" t="s">
        <v>960</v>
      </c>
      <c r="P68" t="s">
        <v>960</v>
      </c>
      <c r="Q68" t="s">
        <v>961</v>
      </c>
      <c r="R68" t="s">
        <v>961</v>
      </c>
      <c r="S68" t="s">
        <v>965</v>
      </c>
      <c r="T68" t="str">
        <f t="shared" si="1"/>
        <v>OK</v>
      </c>
      <c r="U68" t="str">
        <f>IF(IF(MID(C68,5,1)="-", C68=D68, IF(OR(MID(C68,3,1)="/",MID(C68,3,1)="."), D68=MID(C68,7,4)&amp;"-"&amp;MID(C68,4,2)&amp;"-"&amp;LEFT(C68,2), D68=MID(C68,8,4)&amp;"-"&amp;TEXT(MATCH(MID(C68,4,3),{"Jan","Feb","Mar","Apr","May","Jun","Jul","Aug","Sep","Oct","Nov","Dec"},0),"00")&amp;"-"&amp;LEFT(C68,2))),"OK","CHECK")</f>
        <v>OK</v>
      </c>
    </row>
    <row r="69" spans="1:21" x14ac:dyDescent="0.35">
      <c r="A69" t="s">
        <v>87</v>
      </c>
      <c r="B69">
        <v>1</v>
      </c>
      <c r="C69" t="s">
        <v>285</v>
      </c>
      <c r="D69" t="s">
        <v>285</v>
      </c>
      <c r="E69" t="s">
        <v>511</v>
      </c>
      <c r="F69" t="s">
        <v>511</v>
      </c>
      <c r="G69" t="s">
        <v>578</v>
      </c>
      <c r="H69" t="s">
        <v>578</v>
      </c>
      <c r="I69" t="s">
        <v>758</v>
      </c>
      <c r="J69" t="s">
        <v>758</v>
      </c>
      <c r="K69" t="s">
        <v>859</v>
      </c>
      <c r="L69" t="s">
        <v>859</v>
      </c>
      <c r="M69" t="s">
        <v>910</v>
      </c>
      <c r="N69" t="s">
        <v>910</v>
      </c>
      <c r="P69" t="s">
        <v>955</v>
      </c>
      <c r="Q69" t="s">
        <v>963</v>
      </c>
      <c r="R69" t="s">
        <v>963</v>
      </c>
      <c r="S69" t="s">
        <v>965</v>
      </c>
      <c r="T69" t="str">
        <f t="shared" si="1"/>
        <v>OK</v>
      </c>
      <c r="U69" t="str">
        <f>IF(IF(MID(C69,5,1)="-", C69=D69, IF(OR(MID(C69,3,1)="/",MID(C69,3,1)="."), D69=MID(C69,7,4)&amp;"-"&amp;MID(C69,4,2)&amp;"-"&amp;LEFT(C69,2), D69=MID(C69,8,4)&amp;"-"&amp;TEXT(MATCH(MID(C69,4,3),{"Jan","Feb","Mar","Apr","May","Jun","Jul","Aug","Sep","Oct","Nov","Dec"},0),"00")&amp;"-"&amp;LEFT(C69,2))),"OK","CHECK")</f>
        <v>OK</v>
      </c>
    </row>
    <row r="70" spans="1:21" x14ac:dyDescent="0.35">
      <c r="A70" t="s">
        <v>88</v>
      </c>
      <c r="B70">
        <v>1</v>
      </c>
      <c r="C70" t="s">
        <v>286</v>
      </c>
      <c r="D70" t="s">
        <v>439</v>
      </c>
      <c r="E70" t="s">
        <v>513</v>
      </c>
      <c r="F70" t="s">
        <v>513</v>
      </c>
      <c r="G70" t="s">
        <v>579</v>
      </c>
      <c r="H70" t="s">
        <v>579</v>
      </c>
      <c r="I70" t="s">
        <v>759</v>
      </c>
      <c r="J70" t="s">
        <v>759</v>
      </c>
      <c r="K70" t="s">
        <v>861</v>
      </c>
      <c r="L70" t="s">
        <v>861</v>
      </c>
      <c r="M70" t="s">
        <v>887</v>
      </c>
      <c r="N70" t="s">
        <v>887</v>
      </c>
      <c r="P70" t="s">
        <v>955</v>
      </c>
      <c r="Q70" t="s">
        <v>964</v>
      </c>
      <c r="R70" t="s">
        <v>964</v>
      </c>
      <c r="S70" t="s">
        <v>965</v>
      </c>
      <c r="T70" t="str">
        <f t="shared" si="1"/>
        <v>OK</v>
      </c>
      <c r="U70" t="str">
        <f>IF(IF(MID(C70,5,1)="-", C70=D70, IF(OR(MID(C70,3,1)="/",MID(C70,3,1)="."), D70=MID(C70,7,4)&amp;"-"&amp;MID(C70,4,2)&amp;"-"&amp;LEFT(C70,2), D70=MID(C70,8,4)&amp;"-"&amp;TEXT(MATCH(MID(C70,4,3),{"Jan","Feb","Mar","Apr","May","Jun","Jul","Aug","Sep","Oct","Nov","Dec"},0),"00")&amp;"-"&amp;LEFT(C70,2))),"OK","CHECK")</f>
        <v>OK</v>
      </c>
    </row>
    <row r="71" spans="1:21" x14ac:dyDescent="0.35">
      <c r="A71" t="s">
        <v>89</v>
      </c>
      <c r="B71">
        <v>1</v>
      </c>
      <c r="C71" t="s">
        <v>287</v>
      </c>
      <c r="D71" t="s">
        <v>440</v>
      </c>
      <c r="E71" t="s">
        <v>509</v>
      </c>
      <c r="F71" t="s">
        <v>509</v>
      </c>
      <c r="G71" t="s">
        <v>580</v>
      </c>
      <c r="H71" t="s">
        <v>580</v>
      </c>
      <c r="I71" t="s">
        <v>760</v>
      </c>
      <c r="J71" t="s">
        <v>760</v>
      </c>
      <c r="K71" t="s">
        <v>857</v>
      </c>
      <c r="L71" t="s">
        <v>857</v>
      </c>
      <c r="M71" t="s">
        <v>909</v>
      </c>
      <c r="N71" t="s">
        <v>909</v>
      </c>
      <c r="O71" t="s">
        <v>959</v>
      </c>
      <c r="P71" t="s">
        <v>959</v>
      </c>
      <c r="Q71" t="s">
        <v>964</v>
      </c>
      <c r="R71" t="s">
        <v>964</v>
      </c>
      <c r="S71" t="s">
        <v>965</v>
      </c>
      <c r="T71" t="str">
        <f t="shared" si="1"/>
        <v>OK</v>
      </c>
      <c r="U71" t="str">
        <f>IF(IF(MID(C71,5,1)="-", C71=D71, IF(OR(MID(C71,3,1)="/",MID(C71,3,1)="."), D71=MID(C71,7,4)&amp;"-"&amp;MID(C71,4,2)&amp;"-"&amp;LEFT(C71,2), D71=MID(C71,8,4)&amp;"-"&amp;TEXT(MATCH(MID(C71,4,3),{"Jan","Feb","Mar","Apr","May","Jun","Jul","Aug","Sep","Oct","Nov","Dec"},0),"00")&amp;"-"&amp;LEFT(C71,2))),"OK","CHECK")</f>
        <v>OK</v>
      </c>
    </row>
    <row r="72" spans="1:21" x14ac:dyDescent="0.35">
      <c r="A72" t="s">
        <v>90</v>
      </c>
      <c r="B72">
        <v>1</v>
      </c>
      <c r="C72" t="s">
        <v>288</v>
      </c>
      <c r="D72" t="s">
        <v>441</v>
      </c>
      <c r="E72" t="s">
        <v>510</v>
      </c>
      <c r="F72" t="s">
        <v>510</v>
      </c>
      <c r="G72" t="s">
        <v>581</v>
      </c>
      <c r="H72" t="s">
        <v>581</v>
      </c>
      <c r="I72" t="s">
        <v>761</v>
      </c>
      <c r="J72" t="s">
        <v>761</v>
      </c>
      <c r="K72" t="s">
        <v>858</v>
      </c>
      <c r="L72" t="s">
        <v>858</v>
      </c>
      <c r="M72" t="s">
        <v>909</v>
      </c>
      <c r="N72" t="s">
        <v>909</v>
      </c>
      <c r="O72" t="s">
        <v>960</v>
      </c>
      <c r="P72" t="s">
        <v>960</v>
      </c>
      <c r="Q72" t="s">
        <v>964</v>
      </c>
      <c r="R72" t="s">
        <v>964</v>
      </c>
      <c r="S72" t="s">
        <v>965</v>
      </c>
      <c r="T72" t="str">
        <f t="shared" si="1"/>
        <v>OK</v>
      </c>
      <c r="U72" t="str">
        <f>IF(IF(MID(C72,5,1)="-", C72=D72, IF(OR(MID(C72,3,1)="/",MID(C72,3,1)="."), D72=MID(C72,7,4)&amp;"-"&amp;MID(C72,4,2)&amp;"-"&amp;LEFT(C72,2), D72=MID(C72,8,4)&amp;"-"&amp;TEXT(MATCH(MID(C72,4,3),{"Jan","Feb","Mar","Apr","May","Jun","Jul","Aug","Sep","Oct","Nov","Dec"},0),"00")&amp;"-"&amp;LEFT(C72,2))),"OK","CHECK")</f>
        <v>OK</v>
      </c>
    </row>
    <row r="73" spans="1:21" x14ac:dyDescent="0.35">
      <c r="A73" t="s">
        <v>91</v>
      </c>
      <c r="B73">
        <v>1</v>
      </c>
      <c r="C73" t="s">
        <v>289</v>
      </c>
      <c r="D73" t="s">
        <v>289</v>
      </c>
      <c r="E73" t="s">
        <v>512</v>
      </c>
      <c r="F73" t="s">
        <v>512</v>
      </c>
      <c r="G73" t="s">
        <v>582</v>
      </c>
      <c r="H73" t="s">
        <v>582</v>
      </c>
      <c r="I73" t="s">
        <v>732</v>
      </c>
      <c r="J73" t="s">
        <v>732</v>
      </c>
      <c r="K73" t="s">
        <v>860</v>
      </c>
      <c r="L73" t="s">
        <v>860</v>
      </c>
      <c r="M73" t="s">
        <v>876</v>
      </c>
      <c r="N73" t="s">
        <v>876</v>
      </c>
      <c r="O73" t="s">
        <v>957</v>
      </c>
      <c r="P73" t="s">
        <v>957</v>
      </c>
      <c r="Q73" t="s">
        <v>961</v>
      </c>
      <c r="R73" t="s">
        <v>961</v>
      </c>
      <c r="S73" t="s">
        <v>965</v>
      </c>
      <c r="T73" t="str">
        <f t="shared" si="1"/>
        <v>OK</v>
      </c>
      <c r="U73" t="str">
        <f>IF(IF(MID(C73,5,1)="-", C73=D73, IF(OR(MID(C73,3,1)="/",MID(C73,3,1)="."), D73=MID(C73,7,4)&amp;"-"&amp;MID(C73,4,2)&amp;"-"&amp;LEFT(C73,2), D73=MID(C73,8,4)&amp;"-"&amp;TEXT(MATCH(MID(C73,4,3),{"Jan","Feb","Mar","Apr","May","Jun","Jul","Aug","Sep","Oct","Nov","Dec"},0),"00")&amp;"-"&amp;LEFT(C73,2))),"OK","CHECK")</f>
        <v>OK</v>
      </c>
    </row>
    <row r="74" spans="1:21" x14ac:dyDescent="0.35">
      <c r="A74" t="s">
        <v>92</v>
      </c>
      <c r="B74">
        <v>2</v>
      </c>
      <c r="C74" t="s">
        <v>290</v>
      </c>
      <c r="D74" t="s">
        <v>290</v>
      </c>
      <c r="E74" t="s">
        <v>513</v>
      </c>
      <c r="F74" t="s">
        <v>513</v>
      </c>
      <c r="G74" t="s">
        <v>583</v>
      </c>
      <c r="H74" t="s">
        <v>583</v>
      </c>
      <c r="I74" t="s">
        <v>762</v>
      </c>
      <c r="J74" t="s">
        <v>762</v>
      </c>
      <c r="K74" t="s">
        <v>861</v>
      </c>
      <c r="L74" t="s">
        <v>861</v>
      </c>
      <c r="M74" t="s">
        <v>900</v>
      </c>
      <c r="N74" t="s">
        <v>900</v>
      </c>
      <c r="O74" t="s">
        <v>956</v>
      </c>
      <c r="P74" t="s">
        <v>956</v>
      </c>
      <c r="Q74" t="s">
        <v>963</v>
      </c>
      <c r="R74" t="s">
        <v>963</v>
      </c>
      <c r="S74" t="s">
        <v>965</v>
      </c>
      <c r="T74" t="str">
        <f t="shared" si="1"/>
        <v>OK</v>
      </c>
      <c r="U74" t="str">
        <f>IF(IF(MID(C74,5,1)="-", C74=D74, IF(OR(MID(C74,3,1)="/",MID(C74,3,1)="."), D74=MID(C74,7,4)&amp;"-"&amp;MID(C74,4,2)&amp;"-"&amp;LEFT(C74,2), D74=MID(C74,8,4)&amp;"-"&amp;TEXT(MATCH(MID(C74,4,3),{"Jan","Feb","Mar","Apr","May","Jun","Jul","Aug","Sep","Oct","Nov","Dec"},0),"00")&amp;"-"&amp;LEFT(C74,2))),"OK","CHECK")</f>
        <v>OK</v>
      </c>
    </row>
    <row r="75" spans="1:21" x14ac:dyDescent="0.35">
      <c r="A75" t="s">
        <v>93</v>
      </c>
      <c r="B75">
        <v>1</v>
      </c>
      <c r="C75" t="s">
        <v>291</v>
      </c>
      <c r="D75" t="s">
        <v>442</v>
      </c>
      <c r="E75" t="s">
        <v>509</v>
      </c>
      <c r="F75" t="s">
        <v>509</v>
      </c>
      <c r="G75" t="s">
        <v>584</v>
      </c>
      <c r="H75" t="s">
        <v>584</v>
      </c>
      <c r="I75" t="s">
        <v>763</v>
      </c>
      <c r="J75" t="s">
        <v>763</v>
      </c>
      <c r="K75" t="s">
        <v>857</v>
      </c>
      <c r="L75" t="s">
        <v>857</v>
      </c>
      <c r="M75" t="s">
        <v>911</v>
      </c>
      <c r="N75" t="s">
        <v>911</v>
      </c>
      <c r="O75" t="s">
        <v>959</v>
      </c>
      <c r="P75" t="s">
        <v>959</v>
      </c>
      <c r="Q75" t="s">
        <v>961</v>
      </c>
      <c r="R75" t="s">
        <v>961</v>
      </c>
      <c r="S75" t="s">
        <v>965</v>
      </c>
      <c r="T75" t="str">
        <f t="shared" si="1"/>
        <v>OK</v>
      </c>
      <c r="U75" t="str">
        <f>IF(IF(MID(C75,5,1)="-", C75=D75, IF(OR(MID(C75,3,1)="/",MID(C75,3,1)="."), D75=MID(C75,7,4)&amp;"-"&amp;MID(C75,4,2)&amp;"-"&amp;LEFT(C75,2), D75=MID(C75,8,4)&amp;"-"&amp;TEXT(MATCH(MID(C75,4,3),{"Jan","Feb","Mar","Apr","May","Jun","Jul","Aug","Sep","Oct","Nov","Dec"},0),"00")&amp;"-"&amp;LEFT(C75,2))),"OK","CHECK")</f>
        <v>OK</v>
      </c>
    </row>
    <row r="76" spans="1:21" x14ac:dyDescent="0.35">
      <c r="A76" t="s">
        <v>94</v>
      </c>
      <c r="B76">
        <v>1</v>
      </c>
      <c r="C76" t="s">
        <v>292</v>
      </c>
      <c r="D76" t="s">
        <v>443</v>
      </c>
      <c r="E76" t="s">
        <v>510</v>
      </c>
      <c r="F76" t="s">
        <v>510</v>
      </c>
      <c r="G76" t="s">
        <v>585</v>
      </c>
      <c r="H76" t="s">
        <v>585</v>
      </c>
      <c r="I76" t="s">
        <v>764</v>
      </c>
      <c r="J76" t="s">
        <v>764</v>
      </c>
      <c r="K76" t="s">
        <v>858</v>
      </c>
      <c r="L76" t="s">
        <v>858</v>
      </c>
      <c r="M76" t="s">
        <v>872</v>
      </c>
      <c r="N76" t="s">
        <v>872</v>
      </c>
      <c r="O76" t="s">
        <v>958</v>
      </c>
      <c r="P76" t="s">
        <v>958</v>
      </c>
      <c r="Q76" t="s">
        <v>962</v>
      </c>
      <c r="R76" t="s">
        <v>962</v>
      </c>
      <c r="S76" t="s">
        <v>965</v>
      </c>
      <c r="T76" t="str">
        <f t="shared" si="1"/>
        <v>OK</v>
      </c>
      <c r="U76" t="str">
        <f>IF(IF(MID(C76,5,1)="-", C76=D76, IF(OR(MID(C76,3,1)="/",MID(C76,3,1)="."), D76=MID(C76,7,4)&amp;"-"&amp;MID(C76,4,2)&amp;"-"&amp;LEFT(C76,2), D76=MID(C76,8,4)&amp;"-"&amp;TEXT(MATCH(MID(C76,4,3),{"Jan","Feb","Mar","Apr","May","Jun","Jul","Aug","Sep","Oct","Nov","Dec"},0),"00")&amp;"-"&amp;LEFT(C76,2))),"OK","CHECK")</f>
        <v>OK</v>
      </c>
    </row>
    <row r="77" spans="1:21" x14ac:dyDescent="0.35">
      <c r="A77" t="s">
        <v>95</v>
      </c>
      <c r="B77">
        <v>1</v>
      </c>
      <c r="C77" t="s">
        <v>293</v>
      </c>
      <c r="D77" t="s">
        <v>444</v>
      </c>
      <c r="E77" t="s">
        <v>514</v>
      </c>
      <c r="F77" t="s">
        <v>514</v>
      </c>
      <c r="G77" t="s">
        <v>586</v>
      </c>
      <c r="H77" t="s">
        <v>586</v>
      </c>
      <c r="I77" t="s">
        <v>765</v>
      </c>
      <c r="J77" t="s">
        <v>765</v>
      </c>
      <c r="K77" t="s">
        <v>862</v>
      </c>
      <c r="L77" t="s">
        <v>862</v>
      </c>
      <c r="M77" t="s">
        <v>912</v>
      </c>
      <c r="N77" t="s">
        <v>912</v>
      </c>
      <c r="O77" t="s">
        <v>960</v>
      </c>
      <c r="P77" t="s">
        <v>960</v>
      </c>
      <c r="Q77" t="s">
        <v>962</v>
      </c>
      <c r="R77" t="s">
        <v>962</v>
      </c>
      <c r="S77" t="s">
        <v>965</v>
      </c>
      <c r="T77" t="str">
        <f t="shared" si="1"/>
        <v>OK</v>
      </c>
      <c r="U77" t="str">
        <f>IF(IF(MID(C77,5,1)="-", C77=D77, IF(OR(MID(C77,3,1)="/",MID(C77,3,1)="."), D77=MID(C77,7,4)&amp;"-"&amp;MID(C77,4,2)&amp;"-"&amp;LEFT(C77,2), D77=MID(C77,8,4)&amp;"-"&amp;TEXT(MATCH(MID(C77,4,3),{"Jan","Feb","Mar","Apr","May","Jun","Jul","Aug","Sep","Oct","Nov","Dec"},0),"00")&amp;"-"&amp;LEFT(C77,2))),"OK","CHECK")</f>
        <v>OK</v>
      </c>
    </row>
    <row r="78" spans="1:21" x14ac:dyDescent="0.35">
      <c r="A78" t="s">
        <v>96</v>
      </c>
      <c r="B78">
        <v>1</v>
      </c>
      <c r="C78" t="s">
        <v>294</v>
      </c>
      <c r="D78" t="s">
        <v>294</v>
      </c>
      <c r="E78" t="s">
        <v>513</v>
      </c>
      <c r="F78" t="s">
        <v>513</v>
      </c>
      <c r="G78" t="s">
        <v>587</v>
      </c>
      <c r="H78" t="s">
        <v>587</v>
      </c>
      <c r="I78" t="s">
        <v>766</v>
      </c>
      <c r="J78" t="s">
        <v>766</v>
      </c>
      <c r="K78" t="s">
        <v>861</v>
      </c>
      <c r="L78" t="s">
        <v>861</v>
      </c>
      <c r="M78" t="s">
        <v>912</v>
      </c>
      <c r="N78" t="s">
        <v>912</v>
      </c>
      <c r="O78" t="s">
        <v>960</v>
      </c>
      <c r="P78" t="s">
        <v>960</v>
      </c>
      <c r="Q78" t="s">
        <v>961</v>
      </c>
      <c r="R78" t="s">
        <v>961</v>
      </c>
      <c r="S78" t="s">
        <v>965</v>
      </c>
      <c r="T78" t="str">
        <f t="shared" si="1"/>
        <v>OK</v>
      </c>
      <c r="U78" t="str">
        <f>IF(IF(MID(C78,5,1)="-", C78=D78, IF(OR(MID(C78,3,1)="/",MID(C78,3,1)="."), D78=MID(C78,7,4)&amp;"-"&amp;MID(C78,4,2)&amp;"-"&amp;LEFT(C78,2), D78=MID(C78,8,4)&amp;"-"&amp;TEXT(MATCH(MID(C78,4,3),{"Jan","Feb","Mar","Apr","May","Jun","Jul","Aug","Sep","Oct","Nov","Dec"},0),"00")&amp;"-"&amp;LEFT(C78,2))),"OK","CHECK")</f>
        <v>OK</v>
      </c>
    </row>
    <row r="79" spans="1:21" x14ac:dyDescent="0.35">
      <c r="A79" t="s">
        <v>97</v>
      </c>
      <c r="B79">
        <v>2</v>
      </c>
      <c r="C79" t="s">
        <v>295</v>
      </c>
      <c r="D79" t="s">
        <v>445</v>
      </c>
      <c r="E79" t="s">
        <v>514</v>
      </c>
      <c r="F79" t="s">
        <v>514</v>
      </c>
      <c r="G79" t="s">
        <v>588</v>
      </c>
      <c r="H79" t="s">
        <v>588</v>
      </c>
      <c r="I79" t="s">
        <v>767</v>
      </c>
      <c r="J79" t="s">
        <v>767</v>
      </c>
      <c r="K79" t="s">
        <v>862</v>
      </c>
      <c r="L79" t="s">
        <v>862</v>
      </c>
      <c r="M79" t="s">
        <v>913</v>
      </c>
      <c r="N79" t="s">
        <v>913</v>
      </c>
      <c r="O79" t="s">
        <v>960</v>
      </c>
      <c r="P79" t="s">
        <v>960</v>
      </c>
      <c r="Q79" t="s">
        <v>964</v>
      </c>
      <c r="R79" t="s">
        <v>964</v>
      </c>
      <c r="S79" t="s">
        <v>965</v>
      </c>
      <c r="T79" t="str">
        <f t="shared" si="1"/>
        <v>OK</v>
      </c>
      <c r="U79" t="str">
        <f>IF(IF(MID(C79,5,1)="-", C79=D79, IF(OR(MID(C79,3,1)="/",MID(C79,3,1)="."), D79=MID(C79,7,4)&amp;"-"&amp;MID(C79,4,2)&amp;"-"&amp;LEFT(C79,2), D79=MID(C79,8,4)&amp;"-"&amp;TEXT(MATCH(MID(C79,4,3),{"Jan","Feb","Mar","Apr","May","Jun","Jul","Aug","Sep","Oct","Nov","Dec"},0),"00")&amp;"-"&amp;LEFT(C79,2))),"OK","CHECK")</f>
        <v>OK</v>
      </c>
    </row>
    <row r="80" spans="1:21" x14ac:dyDescent="0.35">
      <c r="A80" t="s">
        <v>98</v>
      </c>
      <c r="B80">
        <v>1</v>
      </c>
      <c r="C80" t="s">
        <v>296</v>
      </c>
      <c r="D80" t="s">
        <v>446</v>
      </c>
      <c r="E80" t="s">
        <v>511</v>
      </c>
      <c r="F80" t="s">
        <v>511</v>
      </c>
      <c r="G80" t="s">
        <v>589</v>
      </c>
      <c r="H80" t="s">
        <v>589</v>
      </c>
      <c r="I80" t="s">
        <v>715</v>
      </c>
      <c r="J80" t="s">
        <v>715</v>
      </c>
      <c r="K80" t="s">
        <v>859</v>
      </c>
      <c r="L80" t="s">
        <v>859</v>
      </c>
      <c r="M80" t="s">
        <v>914</v>
      </c>
      <c r="N80" t="s">
        <v>914</v>
      </c>
      <c r="O80" t="s">
        <v>959</v>
      </c>
      <c r="P80" t="s">
        <v>959</v>
      </c>
      <c r="Q80" t="s">
        <v>962</v>
      </c>
      <c r="R80" t="s">
        <v>962</v>
      </c>
      <c r="S80" t="s">
        <v>965</v>
      </c>
      <c r="T80" t="str">
        <f t="shared" si="1"/>
        <v>OK</v>
      </c>
      <c r="U80" t="str">
        <f>IF(IF(MID(C80,5,1)="-", C80=D80, IF(OR(MID(C80,3,1)="/",MID(C80,3,1)="."), D80=MID(C80,7,4)&amp;"-"&amp;MID(C80,4,2)&amp;"-"&amp;LEFT(C80,2), D80=MID(C80,8,4)&amp;"-"&amp;TEXT(MATCH(MID(C80,4,3),{"Jan","Feb","Mar","Apr","May","Jun","Jul","Aug","Sep","Oct","Nov","Dec"},0),"00")&amp;"-"&amp;LEFT(C80,2))),"OK","CHECK")</f>
        <v>OK</v>
      </c>
    </row>
    <row r="81" spans="1:21" x14ac:dyDescent="0.35">
      <c r="A81" t="s">
        <v>99</v>
      </c>
      <c r="B81">
        <v>1</v>
      </c>
      <c r="C81" t="s">
        <v>297</v>
      </c>
      <c r="D81" t="s">
        <v>442</v>
      </c>
      <c r="E81" t="s">
        <v>510</v>
      </c>
      <c r="F81" t="s">
        <v>510</v>
      </c>
      <c r="G81" t="s">
        <v>590</v>
      </c>
      <c r="H81" t="s">
        <v>590</v>
      </c>
      <c r="I81" t="s">
        <v>768</v>
      </c>
      <c r="J81" t="s">
        <v>768</v>
      </c>
      <c r="K81" t="s">
        <v>858</v>
      </c>
      <c r="L81" t="s">
        <v>858</v>
      </c>
      <c r="M81" t="s">
        <v>880</v>
      </c>
      <c r="N81" t="s">
        <v>880</v>
      </c>
      <c r="O81" t="s">
        <v>956</v>
      </c>
      <c r="P81" t="s">
        <v>956</v>
      </c>
      <c r="Q81" t="s">
        <v>962</v>
      </c>
      <c r="R81" t="s">
        <v>962</v>
      </c>
      <c r="S81" t="s">
        <v>965</v>
      </c>
      <c r="T81" t="str">
        <f t="shared" si="1"/>
        <v>OK</v>
      </c>
      <c r="U81" t="str">
        <f>IF(IF(MID(C81,5,1)="-", C81=D81, IF(OR(MID(C81,3,1)="/",MID(C81,3,1)="."), D81=MID(C81,7,4)&amp;"-"&amp;MID(C81,4,2)&amp;"-"&amp;LEFT(C81,2), D81=MID(C81,8,4)&amp;"-"&amp;TEXT(MATCH(MID(C81,4,3),{"Jan","Feb","Mar","Apr","May","Jun","Jul","Aug","Sep","Oct","Nov","Dec"},0),"00")&amp;"-"&amp;LEFT(C81,2))),"OK","CHECK")</f>
        <v>OK</v>
      </c>
    </row>
    <row r="82" spans="1:21" x14ac:dyDescent="0.35">
      <c r="A82" t="s">
        <v>26</v>
      </c>
      <c r="B82">
        <v>2</v>
      </c>
      <c r="C82" t="s">
        <v>225</v>
      </c>
      <c r="D82" t="s">
        <v>406</v>
      </c>
      <c r="E82" t="s">
        <v>513</v>
      </c>
      <c r="F82" t="s">
        <v>513</v>
      </c>
      <c r="G82" t="s">
        <v>521</v>
      </c>
      <c r="H82" t="s">
        <v>521</v>
      </c>
      <c r="I82" t="s">
        <v>699</v>
      </c>
      <c r="J82" t="s">
        <v>699</v>
      </c>
      <c r="K82" t="s">
        <v>861</v>
      </c>
      <c r="L82" t="s">
        <v>861</v>
      </c>
      <c r="M82" t="s">
        <v>869</v>
      </c>
      <c r="N82" t="s">
        <v>869</v>
      </c>
      <c r="O82" t="s">
        <v>959</v>
      </c>
      <c r="P82" t="s">
        <v>959</v>
      </c>
      <c r="Q82" t="s">
        <v>963</v>
      </c>
      <c r="R82" t="s">
        <v>963</v>
      </c>
      <c r="S82" t="s">
        <v>965</v>
      </c>
      <c r="T82" t="str">
        <f t="shared" si="1"/>
        <v>OK</v>
      </c>
      <c r="U82" t="str">
        <f>IF(IF(MID(C82,5,1)="-", C82=D82, IF(OR(MID(C82,3,1)="/",MID(C82,3,1)="."), D82=MID(C82,7,4)&amp;"-"&amp;MID(C82,4,2)&amp;"-"&amp;LEFT(C82,2), D82=MID(C82,8,4)&amp;"-"&amp;TEXT(MATCH(MID(C82,4,3),{"Jan","Feb","Mar","Apr","May","Jun","Jul","Aug","Sep","Oct","Nov","Dec"},0),"00")&amp;"-"&amp;LEFT(C82,2))),"OK","CHECK")</f>
        <v>OK</v>
      </c>
    </row>
    <row r="83" spans="1:21" x14ac:dyDescent="0.35">
      <c r="A83" t="s">
        <v>100</v>
      </c>
      <c r="B83">
        <v>1</v>
      </c>
      <c r="C83" t="s">
        <v>298</v>
      </c>
      <c r="D83" t="s">
        <v>331</v>
      </c>
      <c r="E83" t="s">
        <v>509</v>
      </c>
      <c r="F83" t="s">
        <v>509</v>
      </c>
      <c r="G83" t="s">
        <v>591</v>
      </c>
      <c r="H83" t="s">
        <v>591</v>
      </c>
      <c r="I83" t="s">
        <v>717</v>
      </c>
      <c r="J83" t="s">
        <v>717</v>
      </c>
      <c r="K83" t="s">
        <v>857</v>
      </c>
      <c r="L83" t="s">
        <v>857</v>
      </c>
      <c r="M83" t="s">
        <v>915</v>
      </c>
      <c r="N83" t="s">
        <v>915</v>
      </c>
      <c r="O83" t="s">
        <v>958</v>
      </c>
      <c r="P83" t="s">
        <v>958</v>
      </c>
      <c r="Q83" t="s">
        <v>963</v>
      </c>
      <c r="R83" t="s">
        <v>963</v>
      </c>
      <c r="S83" t="s">
        <v>965</v>
      </c>
      <c r="T83" t="str">
        <f t="shared" si="1"/>
        <v>OK</v>
      </c>
      <c r="U83" t="str">
        <f>IF(IF(MID(C83,5,1)="-", C83=D83, IF(OR(MID(C83,3,1)="/",MID(C83,3,1)="."), D83=MID(C83,7,4)&amp;"-"&amp;MID(C83,4,2)&amp;"-"&amp;LEFT(C83,2), D83=MID(C83,8,4)&amp;"-"&amp;TEXT(MATCH(MID(C83,4,3),{"Jan","Feb","Mar","Apr","May","Jun","Jul","Aug","Sep","Oct","Nov","Dec"},0),"00")&amp;"-"&amp;LEFT(C83,2))),"OK","CHECK")</f>
        <v>OK</v>
      </c>
    </row>
    <row r="84" spans="1:21" x14ac:dyDescent="0.35">
      <c r="A84" t="s">
        <v>101</v>
      </c>
      <c r="B84">
        <v>1</v>
      </c>
      <c r="C84" t="s">
        <v>280</v>
      </c>
      <c r="D84" t="s">
        <v>280</v>
      </c>
      <c r="E84" t="s">
        <v>514</v>
      </c>
      <c r="F84" t="s">
        <v>514</v>
      </c>
      <c r="G84" t="s">
        <v>592</v>
      </c>
      <c r="H84" t="s">
        <v>592</v>
      </c>
      <c r="I84" t="s">
        <v>769</v>
      </c>
      <c r="J84" t="s">
        <v>769</v>
      </c>
      <c r="K84" t="s">
        <v>862</v>
      </c>
      <c r="L84" t="s">
        <v>862</v>
      </c>
      <c r="M84" t="s">
        <v>916</v>
      </c>
      <c r="N84" t="s">
        <v>916</v>
      </c>
      <c r="O84" t="s">
        <v>959</v>
      </c>
      <c r="P84" t="s">
        <v>959</v>
      </c>
      <c r="Q84" t="s">
        <v>962</v>
      </c>
      <c r="R84" t="s">
        <v>962</v>
      </c>
      <c r="S84" t="s">
        <v>965</v>
      </c>
      <c r="T84" t="str">
        <f t="shared" si="1"/>
        <v>OK</v>
      </c>
      <c r="U84" t="str">
        <f>IF(IF(MID(C84,5,1)="-", C84=D84, IF(OR(MID(C84,3,1)="/",MID(C84,3,1)="."), D84=MID(C84,7,4)&amp;"-"&amp;MID(C84,4,2)&amp;"-"&amp;LEFT(C84,2), D84=MID(C84,8,4)&amp;"-"&amp;TEXT(MATCH(MID(C84,4,3),{"Jan","Feb","Mar","Apr","May","Jun","Jul","Aug","Sep","Oct","Nov","Dec"},0),"00")&amp;"-"&amp;LEFT(C84,2))),"OK","CHECK")</f>
        <v>OK</v>
      </c>
    </row>
    <row r="85" spans="1:21" x14ac:dyDescent="0.35">
      <c r="A85" t="s">
        <v>102</v>
      </c>
      <c r="B85">
        <v>1</v>
      </c>
      <c r="C85" t="s">
        <v>299</v>
      </c>
      <c r="D85" t="s">
        <v>240</v>
      </c>
      <c r="E85" t="s">
        <v>510</v>
      </c>
      <c r="F85" t="s">
        <v>510</v>
      </c>
      <c r="G85" t="s">
        <v>593</v>
      </c>
      <c r="H85" t="s">
        <v>593</v>
      </c>
      <c r="I85" t="s">
        <v>770</v>
      </c>
      <c r="J85" t="s">
        <v>770</v>
      </c>
      <c r="K85" t="s">
        <v>858</v>
      </c>
      <c r="L85" t="s">
        <v>858</v>
      </c>
      <c r="M85" t="s">
        <v>917</v>
      </c>
      <c r="N85" t="s">
        <v>917</v>
      </c>
      <c r="O85" t="s">
        <v>957</v>
      </c>
      <c r="P85" t="s">
        <v>957</v>
      </c>
      <c r="Q85" t="s">
        <v>963</v>
      </c>
      <c r="R85" t="s">
        <v>963</v>
      </c>
      <c r="S85" t="s">
        <v>965</v>
      </c>
      <c r="T85" t="str">
        <f t="shared" si="1"/>
        <v>OK</v>
      </c>
      <c r="U85" t="str">
        <f>IF(IF(MID(C85,5,1)="-", C85=D85, IF(OR(MID(C85,3,1)="/",MID(C85,3,1)="."), D85=MID(C85,7,4)&amp;"-"&amp;MID(C85,4,2)&amp;"-"&amp;LEFT(C85,2), D85=MID(C85,8,4)&amp;"-"&amp;TEXT(MATCH(MID(C85,4,3),{"Jan","Feb","Mar","Apr","May","Jun","Jul","Aug","Sep","Oct","Nov","Dec"},0),"00")&amp;"-"&amp;LEFT(C85,2))),"OK","CHECK")</f>
        <v>OK</v>
      </c>
    </row>
    <row r="86" spans="1:21" x14ac:dyDescent="0.35">
      <c r="A86" t="s">
        <v>103</v>
      </c>
      <c r="B86">
        <v>1</v>
      </c>
      <c r="C86" t="s">
        <v>300</v>
      </c>
      <c r="D86" t="s">
        <v>300</v>
      </c>
      <c r="E86" t="s">
        <v>509</v>
      </c>
      <c r="F86" t="s">
        <v>509</v>
      </c>
      <c r="G86" t="s">
        <v>594</v>
      </c>
      <c r="H86" t="s">
        <v>594</v>
      </c>
      <c r="I86" t="s">
        <v>695</v>
      </c>
      <c r="J86" t="s">
        <v>695</v>
      </c>
      <c r="K86" t="s">
        <v>857</v>
      </c>
      <c r="L86" t="s">
        <v>857</v>
      </c>
      <c r="M86" t="s">
        <v>918</v>
      </c>
      <c r="N86" t="s">
        <v>918</v>
      </c>
      <c r="O86" t="s">
        <v>959</v>
      </c>
      <c r="P86" t="s">
        <v>959</v>
      </c>
      <c r="Q86" t="s">
        <v>963</v>
      </c>
      <c r="R86" t="s">
        <v>963</v>
      </c>
      <c r="S86" t="s">
        <v>965</v>
      </c>
      <c r="T86" t="str">
        <f t="shared" si="1"/>
        <v>OK</v>
      </c>
      <c r="U86" t="str">
        <f>IF(IF(MID(C86,5,1)="-", C86=D86, IF(OR(MID(C86,3,1)="/",MID(C86,3,1)="."), D86=MID(C86,7,4)&amp;"-"&amp;MID(C86,4,2)&amp;"-"&amp;LEFT(C86,2), D86=MID(C86,8,4)&amp;"-"&amp;TEXT(MATCH(MID(C86,4,3),{"Jan","Feb","Mar","Apr","May","Jun","Jul","Aug","Sep","Oct","Nov","Dec"},0),"00")&amp;"-"&amp;LEFT(C86,2))),"OK","CHECK")</f>
        <v>OK</v>
      </c>
    </row>
    <row r="87" spans="1:21" x14ac:dyDescent="0.35">
      <c r="A87" t="s">
        <v>104</v>
      </c>
      <c r="B87">
        <v>1</v>
      </c>
      <c r="C87" t="s">
        <v>234</v>
      </c>
      <c r="D87" t="s">
        <v>411</v>
      </c>
      <c r="E87" t="s">
        <v>510</v>
      </c>
      <c r="F87" t="s">
        <v>510</v>
      </c>
      <c r="G87" t="s">
        <v>595</v>
      </c>
      <c r="H87" t="s">
        <v>595</v>
      </c>
      <c r="I87" t="s">
        <v>771</v>
      </c>
      <c r="J87" t="s">
        <v>771</v>
      </c>
      <c r="K87" t="s">
        <v>858</v>
      </c>
      <c r="L87" t="s">
        <v>858</v>
      </c>
      <c r="M87" t="s">
        <v>907</v>
      </c>
      <c r="N87" t="s">
        <v>907</v>
      </c>
      <c r="O87" t="s">
        <v>960</v>
      </c>
      <c r="P87" t="s">
        <v>960</v>
      </c>
      <c r="Q87" t="s">
        <v>962</v>
      </c>
      <c r="R87" t="s">
        <v>962</v>
      </c>
      <c r="S87" t="s">
        <v>965</v>
      </c>
      <c r="T87" t="str">
        <f t="shared" si="1"/>
        <v>OK</v>
      </c>
      <c r="U87" t="str">
        <f>IF(IF(MID(C87,5,1)="-", C87=D87, IF(OR(MID(C87,3,1)="/",MID(C87,3,1)="."), D87=MID(C87,7,4)&amp;"-"&amp;MID(C87,4,2)&amp;"-"&amp;LEFT(C87,2), D87=MID(C87,8,4)&amp;"-"&amp;TEXT(MATCH(MID(C87,4,3),{"Jan","Feb","Mar","Apr","May","Jun","Jul","Aug","Sep","Oct","Nov","Dec"},0),"00")&amp;"-"&amp;LEFT(C87,2))),"OK","CHECK")</f>
        <v>OK</v>
      </c>
    </row>
    <row r="88" spans="1:21" x14ac:dyDescent="0.35">
      <c r="A88" t="s">
        <v>105</v>
      </c>
      <c r="B88">
        <v>1</v>
      </c>
      <c r="C88" t="s">
        <v>301</v>
      </c>
      <c r="D88" t="s">
        <v>447</v>
      </c>
      <c r="E88" t="s">
        <v>513</v>
      </c>
      <c r="F88" t="s">
        <v>513</v>
      </c>
      <c r="G88" t="s">
        <v>596</v>
      </c>
      <c r="H88" t="s">
        <v>596</v>
      </c>
      <c r="I88" t="s">
        <v>772</v>
      </c>
      <c r="J88" t="s">
        <v>772</v>
      </c>
      <c r="K88" t="s">
        <v>861</v>
      </c>
      <c r="L88" t="s">
        <v>861</v>
      </c>
      <c r="M88" t="s">
        <v>919</v>
      </c>
      <c r="N88" t="s">
        <v>919</v>
      </c>
      <c r="O88" t="s">
        <v>958</v>
      </c>
      <c r="P88" t="s">
        <v>958</v>
      </c>
      <c r="Q88" t="s">
        <v>961</v>
      </c>
      <c r="R88" t="s">
        <v>961</v>
      </c>
      <c r="S88" t="s">
        <v>965</v>
      </c>
      <c r="T88" t="str">
        <f t="shared" si="1"/>
        <v>OK</v>
      </c>
      <c r="U88" t="str">
        <f>IF(IF(MID(C88,5,1)="-", C88=D88, IF(OR(MID(C88,3,1)="/",MID(C88,3,1)="."), D88=MID(C88,7,4)&amp;"-"&amp;MID(C88,4,2)&amp;"-"&amp;LEFT(C88,2), D88=MID(C88,8,4)&amp;"-"&amp;TEXT(MATCH(MID(C88,4,3),{"Jan","Feb","Mar","Apr","May","Jun","Jul","Aug","Sep","Oct","Nov","Dec"},0),"00")&amp;"-"&amp;LEFT(C88,2))),"OK","CHECK")</f>
        <v>OK</v>
      </c>
    </row>
    <row r="89" spans="1:21" x14ac:dyDescent="0.35">
      <c r="A89" t="s">
        <v>106</v>
      </c>
      <c r="B89">
        <v>2</v>
      </c>
      <c r="C89" t="s">
        <v>251</v>
      </c>
      <c r="D89" t="s">
        <v>418</v>
      </c>
      <c r="E89" t="s">
        <v>514</v>
      </c>
      <c r="F89" t="s">
        <v>514</v>
      </c>
      <c r="G89" t="s">
        <v>597</v>
      </c>
      <c r="H89" t="s">
        <v>597</v>
      </c>
      <c r="I89" t="s">
        <v>773</v>
      </c>
      <c r="J89" t="s">
        <v>773</v>
      </c>
      <c r="K89" t="s">
        <v>862</v>
      </c>
      <c r="L89" t="s">
        <v>862</v>
      </c>
      <c r="M89" t="s">
        <v>920</v>
      </c>
      <c r="N89" t="s">
        <v>920</v>
      </c>
      <c r="O89" t="s">
        <v>958</v>
      </c>
      <c r="P89" t="s">
        <v>958</v>
      </c>
      <c r="Q89" t="s">
        <v>963</v>
      </c>
      <c r="R89" t="s">
        <v>963</v>
      </c>
      <c r="S89" t="s">
        <v>965</v>
      </c>
      <c r="T89" t="str">
        <f t="shared" si="1"/>
        <v>OK</v>
      </c>
      <c r="U89" t="str">
        <f>IF(IF(MID(C89,5,1)="-", C89=D89, IF(OR(MID(C89,3,1)="/",MID(C89,3,1)="."), D89=MID(C89,7,4)&amp;"-"&amp;MID(C89,4,2)&amp;"-"&amp;LEFT(C89,2), D89=MID(C89,8,4)&amp;"-"&amp;TEXT(MATCH(MID(C89,4,3),{"Jan","Feb","Mar","Apr","May","Jun","Jul","Aug","Sep","Oct","Nov","Dec"},0),"00")&amp;"-"&amp;LEFT(C89,2))),"OK","CHECK")</f>
        <v>OK</v>
      </c>
    </row>
    <row r="90" spans="1:21" x14ac:dyDescent="0.35">
      <c r="A90" t="s">
        <v>107</v>
      </c>
      <c r="B90">
        <v>1</v>
      </c>
      <c r="C90" t="s">
        <v>302</v>
      </c>
      <c r="D90" t="s">
        <v>412</v>
      </c>
      <c r="E90" t="s">
        <v>512</v>
      </c>
      <c r="F90" t="s">
        <v>512</v>
      </c>
      <c r="G90" t="s">
        <v>598</v>
      </c>
      <c r="H90" t="s">
        <v>598</v>
      </c>
      <c r="I90" t="s">
        <v>774</v>
      </c>
      <c r="J90" t="s">
        <v>774</v>
      </c>
      <c r="K90" t="s">
        <v>860</v>
      </c>
      <c r="L90" t="s">
        <v>860</v>
      </c>
      <c r="M90" t="s">
        <v>873</v>
      </c>
      <c r="N90" t="s">
        <v>873</v>
      </c>
      <c r="O90" t="s">
        <v>956</v>
      </c>
      <c r="P90" t="s">
        <v>956</v>
      </c>
      <c r="Q90" t="s">
        <v>961</v>
      </c>
      <c r="R90" t="s">
        <v>961</v>
      </c>
      <c r="S90" t="s">
        <v>965</v>
      </c>
      <c r="T90" t="str">
        <f t="shared" si="1"/>
        <v>OK</v>
      </c>
      <c r="U90" t="str">
        <f>IF(IF(MID(C90,5,1)="-", C90=D90, IF(OR(MID(C90,3,1)="/",MID(C90,3,1)="."), D90=MID(C90,7,4)&amp;"-"&amp;MID(C90,4,2)&amp;"-"&amp;LEFT(C90,2), D90=MID(C90,8,4)&amp;"-"&amp;TEXT(MATCH(MID(C90,4,3),{"Jan","Feb","Mar","Apr","May","Jun","Jul","Aug","Sep","Oct","Nov","Dec"},0),"00")&amp;"-"&amp;LEFT(C90,2))),"OK","CHECK")</f>
        <v>OK</v>
      </c>
    </row>
    <row r="91" spans="1:21" x14ac:dyDescent="0.35">
      <c r="A91" t="s">
        <v>108</v>
      </c>
      <c r="B91">
        <v>1</v>
      </c>
      <c r="C91" t="s">
        <v>303</v>
      </c>
      <c r="D91" t="s">
        <v>425</v>
      </c>
      <c r="E91" t="s">
        <v>511</v>
      </c>
      <c r="F91" t="s">
        <v>511</v>
      </c>
      <c r="G91" t="s">
        <v>599</v>
      </c>
      <c r="H91" t="s">
        <v>599</v>
      </c>
      <c r="I91" t="s">
        <v>775</v>
      </c>
      <c r="J91" t="s">
        <v>775</v>
      </c>
      <c r="K91" t="s">
        <v>859</v>
      </c>
      <c r="L91" t="s">
        <v>859</v>
      </c>
      <c r="M91" t="s">
        <v>875</v>
      </c>
      <c r="N91" t="s">
        <v>875</v>
      </c>
      <c r="O91" t="s">
        <v>956</v>
      </c>
      <c r="P91" t="s">
        <v>956</v>
      </c>
      <c r="Q91" t="s">
        <v>962</v>
      </c>
      <c r="R91" t="s">
        <v>962</v>
      </c>
      <c r="S91" t="s">
        <v>965</v>
      </c>
      <c r="T91" t="str">
        <f t="shared" si="1"/>
        <v>OK</v>
      </c>
      <c r="U91" t="str">
        <f>IF(IF(MID(C91,5,1)="-", C91=D91, IF(OR(MID(C91,3,1)="/",MID(C91,3,1)="."), D91=MID(C91,7,4)&amp;"-"&amp;MID(C91,4,2)&amp;"-"&amp;LEFT(C91,2), D91=MID(C91,8,4)&amp;"-"&amp;TEXT(MATCH(MID(C91,4,3),{"Jan","Feb","Mar","Apr","May","Jun","Jul","Aug","Sep","Oct","Nov","Dec"},0),"00")&amp;"-"&amp;LEFT(C91,2))),"OK","CHECK")</f>
        <v>OK</v>
      </c>
    </row>
    <row r="92" spans="1:21" x14ac:dyDescent="0.35">
      <c r="A92" t="s">
        <v>109</v>
      </c>
      <c r="B92">
        <v>1</v>
      </c>
      <c r="C92" t="s">
        <v>304</v>
      </c>
      <c r="D92" t="s">
        <v>448</v>
      </c>
      <c r="E92" t="s">
        <v>511</v>
      </c>
      <c r="F92" t="s">
        <v>511</v>
      </c>
      <c r="G92" t="s">
        <v>552</v>
      </c>
      <c r="H92" t="s">
        <v>552</v>
      </c>
      <c r="I92" t="s">
        <v>776</v>
      </c>
      <c r="J92" t="s">
        <v>776</v>
      </c>
      <c r="K92" t="s">
        <v>859</v>
      </c>
      <c r="L92" t="s">
        <v>859</v>
      </c>
      <c r="M92" t="s">
        <v>904</v>
      </c>
      <c r="N92" t="s">
        <v>904</v>
      </c>
      <c r="O92" t="s">
        <v>957</v>
      </c>
      <c r="P92" t="s">
        <v>957</v>
      </c>
      <c r="Q92" t="s">
        <v>963</v>
      </c>
      <c r="R92" t="s">
        <v>963</v>
      </c>
      <c r="S92" t="s">
        <v>965</v>
      </c>
      <c r="T92" t="str">
        <f t="shared" si="1"/>
        <v>OK</v>
      </c>
      <c r="U92" t="str">
        <f>IF(IF(MID(C92,5,1)="-", C92=D92, IF(OR(MID(C92,3,1)="/",MID(C92,3,1)="."), D92=MID(C92,7,4)&amp;"-"&amp;MID(C92,4,2)&amp;"-"&amp;LEFT(C92,2), D92=MID(C92,8,4)&amp;"-"&amp;TEXT(MATCH(MID(C92,4,3),{"Jan","Feb","Mar","Apr","May","Jun","Jul","Aug","Sep","Oct","Nov","Dec"},0),"00")&amp;"-"&amp;LEFT(C92,2))),"OK","CHECK")</f>
        <v>OK</v>
      </c>
    </row>
    <row r="93" spans="1:21" x14ac:dyDescent="0.35">
      <c r="A93" t="s">
        <v>110</v>
      </c>
      <c r="B93">
        <v>1</v>
      </c>
      <c r="C93" t="s">
        <v>305</v>
      </c>
      <c r="D93" t="s">
        <v>449</v>
      </c>
      <c r="E93" t="s">
        <v>511</v>
      </c>
      <c r="F93" t="s">
        <v>511</v>
      </c>
      <c r="G93" t="s">
        <v>600</v>
      </c>
      <c r="H93" t="s">
        <v>600</v>
      </c>
      <c r="I93" t="s">
        <v>777</v>
      </c>
      <c r="J93" t="s">
        <v>777</v>
      </c>
      <c r="K93" t="s">
        <v>859</v>
      </c>
      <c r="L93" t="s">
        <v>859</v>
      </c>
      <c r="M93" t="s">
        <v>879</v>
      </c>
      <c r="N93" t="s">
        <v>879</v>
      </c>
      <c r="O93" t="s">
        <v>957</v>
      </c>
      <c r="P93" t="s">
        <v>957</v>
      </c>
      <c r="Q93" t="s">
        <v>964</v>
      </c>
      <c r="R93" t="s">
        <v>964</v>
      </c>
      <c r="S93" t="s">
        <v>965</v>
      </c>
      <c r="T93" t="str">
        <f t="shared" si="1"/>
        <v>OK</v>
      </c>
      <c r="U93" t="str">
        <f>IF(IF(MID(C93,5,1)="-", C93=D93, IF(OR(MID(C93,3,1)="/",MID(C93,3,1)="."), D93=MID(C93,7,4)&amp;"-"&amp;MID(C93,4,2)&amp;"-"&amp;LEFT(C93,2), D93=MID(C93,8,4)&amp;"-"&amp;TEXT(MATCH(MID(C93,4,3),{"Jan","Feb","Mar","Apr","May","Jun","Jul","Aug","Sep","Oct","Nov","Dec"},0),"00")&amp;"-"&amp;LEFT(C93,2))),"OK","CHECK")</f>
        <v>OK</v>
      </c>
    </row>
    <row r="94" spans="1:21" x14ac:dyDescent="0.35">
      <c r="A94" t="s">
        <v>111</v>
      </c>
      <c r="B94">
        <v>1</v>
      </c>
      <c r="C94" t="s">
        <v>306</v>
      </c>
      <c r="D94" t="s">
        <v>450</v>
      </c>
      <c r="E94" t="s">
        <v>513</v>
      </c>
      <c r="F94" t="s">
        <v>513</v>
      </c>
      <c r="G94" t="s">
        <v>601</v>
      </c>
      <c r="H94" t="s">
        <v>601</v>
      </c>
      <c r="I94" t="s">
        <v>778</v>
      </c>
      <c r="J94" t="s">
        <v>778</v>
      </c>
      <c r="K94" t="s">
        <v>861</v>
      </c>
      <c r="L94" t="s">
        <v>861</v>
      </c>
      <c r="N94" t="s">
        <v>955</v>
      </c>
      <c r="O94" t="s">
        <v>956</v>
      </c>
      <c r="P94" t="s">
        <v>956</v>
      </c>
      <c r="Q94" t="s">
        <v>964</v>
      </c>
      <c r="R94" t="s">
        <v>964</v>
      </c>
      <c r="S94" t="s">
        <v>965</v>
      </c>
      <c r="T94" t="str">
        <f t="shared" si="1"/>
        <v>OK</v>
      </c>
      <c r="U94" t="str">
        <f>IF(IF(MID(C94,5,1)="-", C94=D94, IF(OR(MID(C94,3,1)="/",MID(C94,3,1)="."), D94=MID(C94,7,4)&amp;"-"&amp;MID(C94,4,2)&amp;"-"&amp;LEFT(C94,2), D94=MID(C94,8,4)&amp;"-"&amp;TEXT(MATCH(MID(C94,4,3),{"Jan","Feb","Mar","Apr","May","Jun","Jul","Aug","Sep","Oct","Nov","Dec"},0),"00")&amp;"-"&amp;LEFT(C94,2))),"OK","CHECK")</f>
        <v>OK</v>
      </c>
    </row>
    <row r="95" spans="1:21" x14ac:dyDescent="0.35">
      <c r="A95" t="s">
        <v>112</v>
      </c>
      <c r="B95">
        <v>1</v>
      </c>
      <c r="C95" t="s">
        <v>241</v>
      </c>
      <c r="D95" t="s">
        <v>414</v>
      </c>
      <c r="E95" t="s">
        <v>512</v>
      </c>
      <c r="F95" t="s">
        <v>512</v>
      </c>
      <c r="G95" t="s">
        <v>516</v>
      </c>
      <c r="H95" t="s">
        <v>516</v>
      </c>
      <c r="I95" t="s">
        <v>779</v>
      </c>
      <c r="J95" t="s">
        <v>779</v>
      </c>
      <c r="K95" t="s">
        <v>860</v>
      </c>
      <c r="L95" t="s">
        <v>860</v>
      </c>
      <c r="M95" t="s">
        <v>912</v>
      </c>
      <c r="N95" t="s">
        <v>912</v>
      </c>
      <c r="O95" t="s">
        <v>959</v>
      </c>
      <c r="P95" t="s">
        <v>959</v>
      </c>
      <c r="Q95" t="s">
        <v>961</v>
      </c>
      <c r="R95" t="s">
        <v>961</v>
      </c>
      <c r="S95" t="s">
        <v>965</v>
      </c>
      <c r="T95" t="str">
        <f t="shared" si="1"/>
        <v>OK</v>
      </c>
      <c r="U95" t="str">
        <f>IF(IF(MID(C95,5,1)="-", C95=D95, IF(OR(MID(C95,3,1)="/",MID(C95,3,1)="."), D95=MID(C95,7,4)&amp;"-"&amp;MID(C95,4,2)&amp;"-"&amp;LEFT(C95,2), D95=MID(C95,8,4)&amp;"-"&amp;TEXT(MATCH(MID(C95,4,3),{"Jan","Feb","Mar","Apr","May","Jun","Jul","Aug","Sep","Oct","Nov","Dec"},0),"00")&amp;"-"&amp;LEFT(C95,2))),"OK","CHECK")</f>
        <v>OK</v>
      </c>
    </row>
    <row r="96" spans="1:21" x14ac:dyDescent="0.35">
      <c r="A96" t="s">
        <v>113</v>
      </c>
      <c r="B96">
        <v>1</v>
      </c>
      <c r="C96" t="s">
        <v>227</v>
      </c>
      <c r="D96" t="s">
        <v>408</v>
      </c>
      <c r="E96" t="s">
        <v>513</v>
      </c>
      <c r="F96" t="s">
        <v>513</v>
      </c>
      <c r="G96" t="s">
        <v>602</v>
      </c>
      <c r="H96" t="s">
        <v>602</v>
      </c>
      <c r="I96" t="s">
        <v>780</v>
      </c>
      <c r="J96" t="s">
        <v>780</v>
      </c>
      <c r="K96" t="s">
        <v>861</v>
      </c>
      <c r="L96" t="s">
        <v>861</v>
      </c>
      <c r="M96" t="s">
        <v>921</v>
      </c>
      <c r="N96" t="s">
        <v>921</v>
      </c>
      <c r="O96" t="s">
        <v>957</v>
      </c>
      <c r="P96" t="s">
        <v>957</v>
      </c>
      <c r="Q96" t="s">
        <v>962</v>
      </c>
      <c r="R96" t="s">
        <v>962</v>
      </c>
      <c r="S96" t="s">
        <v>965</v>
      </c>
      <c r="T96" t="str">
        <f t="shared" si="1"/>
        <v>OK</v>
      </c>
      <c r="U96" t="str">
        <f>IF(IF(MID(C96,5,1)="-", C96=D96, IF(OR(MID(C96,3,1)="/",MID(C96,3,1)="."), D96=MID(C96,7,4)&amp;"-"&amp;MID(C96,4,2)&amp;"-"&amp;LEFT(C96,2), D96=MID(C96,8,4)&amp;"-"&amp;TEXT(MATCH(MID(C96,4,3),{"Jan","Feb","Mar","Apr","May","Jun","Jul","Aug","Sep","Oct","Nov","Dec"},0),"00")&amp;"-"&amp;LEFT(C96,2))),"OK","CHECK")</f>
        <v>OK</v>
      </c>
    </row>
    <row r="97" spans="1:21" x14ac:dyDescent="0.35">
      <c r="A97" t="s">
        <v>114</v>
      </c>
      <c r="B97">
        <v>1</v>
      </c>
      <c r="C97" t="s">
        <v>307</v>
      </c>
      <c r="D97" t="s">
        <v>451</v>
      </c>
      <c r="E97" t="s">
        <v>512</v>
      </c>
      <c r="F97" t="s">
        <v>512</v>
      </c>
      <c r="G97" t="s">
        <v>603</v>
      </c>
      <c r="H97" t="s">
        <v>603</v>
      </c>
      <c r="I97" t="s">
        <v>781</v>
      </c>
      <c r="J97" t="s">
        <v>781</v>
      </c>
      <c r="K97" t="s">
        <v>860</v>
      </c>
      <c r="L97" t="s">
        <v>860</v>
      </c>
      <c r="M97" t="s">
        <v>922</v>
      </c>
      <c r="N97" t="s">
        <v>922</v>
      </c>
      <c r="O97" t="s">
        <v>958</v>
      </c>
      <c r="P97" t="s">
        <v>958</v>
      </c>
      <c r="Q97" t="s">
        <v>964</v>
      </c>
      <c r="R97" t="s">
        <v>964</v>
      </c>
      <c r="S97" t="s">
        <v>965</v>
      </c>
      <c r="T97" t="str">
        <f t="shared" si="1"/>
        <v>OK</v>
      </c>
      <c r="U97" t="str">
        <f>IF(IF(MID(C97,5,1)="-", C97=D97, IF(OR(MID(C97,3,1)="/",MID(C97,3,1)="."), D97=MID(C97,7,4)&amp;"-"&amp;MID(C97,4,2)&amp;"-"&amp;LEFT(C97,2), D97=MID(C97,8,4)&amp;"-"&amp;TEXT(MATCH(MID(C97,4,3),{"Jan","Feb","Mar","Apr","May","Jun","Jul","Aug","Sep","Oct","Nov","Dec"},0),"00")&amp;"-"&amp;LEFT(C97,2))),"OK","CHECK")</f>
        <v>OK</v>
      </c>
    </row>
    <row r="98" spans="1:21" x14ac:dyDescent="0.35">
      <c r="A98" t="s">
        <v>115</v>
      </c>
      <c r="B98">
        <v>1</v>
      </c>
      <c r="C98" t="s">
        <v>308</v>
      </c>
      <c r="D98" t="s">
        <v>308</v>
      </c>
      <c r="E98" t="s">
        <v>514</v>
      </c>
      <c r="F98" t="s">
        <v>514</v>
      </c>
      <c r="G98" t="s">
        <v>604</v>
      </c>
      <c r="H98" t="s">
        <v>604</v>
      </c>
      <c r="I98" t="s">
        <v>782</v>
      </c>
      <c r="J98" t="s">
        <v>782</v>
      </c>
      <c r="K98" t="s">
        <v>862</v>
      </c>
      <c r="L98" t="s">
        <v>862</v>
      </c>
      <c r="M98" t="s">
        <v>903</v>
      </c>
      <c r="N98" t="s">
        <v>903</v>
      </c>
      <c r="O98" t="s">
        <v>960</v>
      </c>
      <c r="P98" t="s">
        <v>960</v>
      </c>
      <c r="Q98" t="s">
        <v>964</v>
      </c>
      <c r="R98" t="s">
        <v>964</v>
      </c>
      <c r="S98" t="s">
        <v>965</v>
      </c>
      <c r="T98" t="str">
        <f t="shared" si="1"/>
        <v>OK</v>
      </c>
      <c r="U98" t="str">
        <f>IF(IF(MID(C98,5,1)="-", C98=D98, IF(OR(MID(C98,3,1)="/",MID(C98,3,1)="."), D98=MID(C98,7,4)&amp;"-"&amp;MID(C98,4,2)&amp;"-"&amp;LEFT(C98,2), D98=MID(C98,8,4)&amp;"-"&amp;TEXT(MATCH(MID(C98,4,3),{"Jan","Feb","Mar","Apr","May","Jun","Jul","Aug","Sep","Oct","Nov","Dec"},0),"00")&amp;"-"&amp;LEFT(C98,2))),"OK","CHECK")</f>
        <v>OK</v>
      </c>
    </row>
    <row r="99" spans="1:21" x14ac:dyDescent="0.35">
      <c r="A99" t="s">
        <v>116</v>
      </c>
      <c r="B99">
        <v>1</v>
      </c>
      <c r="C99" t="s">
        <v>309</v>
      </c>
      <c r="D99" t="s">
        <v>252</v>
      </c>
      <c r="E99" t="s">
        <v>510</v>
      </c>
      <c r="F99" t="s">
        <v>510</v>
      </c>
      <c r="G99" t="s">
        <v>605</v>
      </c>
      <c r="H99" t="s">
        <v>605</v>
      </c>
      <c r="I99" t="s">
        <v>778</v>
      </c>
      <c r="J99" t="s">
        <v>778</v>
      </c>
      <c r="K99" t="s">
        <v>858</v>
      </c>
      <c r="L99" t="s">
        <v>858</v>
      </c>
      <c r="M99" t="s">
        <v>908</v>
      </c>
      <c r="N99" t="s">
        <v>908</v>
      </c>
      <c r="O99" t="s">
        <v>959</v>
      </c>
      <c r="P99" t="s">
        <v>959</v>
      </c>
      <c r="Q99" t="s">
        <v>961</v>
      </c>
      <c r="R99" t="s">
        <v>961</v>
      </c>
      <c r="S99" t="s">
        <v>965</v>
      </c>
      <c r="T99" t="str">
        <f t="shared" si="1"/>
        <v>OK</v>
      </c>
      <c r="U99" t="str">
        <f>IF(IF(MID(C99,5,1)="-", C99=D99, IF(OR(MID(C99,3,1)="/",MID(C99,3,1)="."), D99=MID(C99,7,4)&amp;"-"&amp;MID(C99,4,2)&amp;"-"&amp;LEFT(C99,2), D99=MID(C99,8,4)&amp;"-"&amp;TEXT(MATCH(MID(C99,4,3),{"Jan","Feb","Mar","Apr","May","Jun","Jul","Aug","Sep","Oct","Nov","Dec"},0),"00")&amp;"-"&amp;LEFT(C99,2))),"OK","CHECK")</f>
        <v>OK</v>
      </c>
    </row>
    <row r="100" spans="1:21" x14ac:dyDescent="0.35">
      <c r="A100" t="s">
        <v>117</v>
      </c>
      <c r="B100">
        <v>2</v>
      </c>
      <c r="C100" t="s">
        <v>310</v>
      </c>
      <c r="D100" t="s">
        <v>452</v>
      </c>
      <c r="E100" t="s">
        <v>509</v>
      </c>
      <c r="F100" t="s">
        <v>509</v>
      </c>
      <c r="G100" t="s">
        <v>606</v>
      </c>
      <c r="H100" t="s">
        <v>606</v>
      </c>
      <c r="I100" t="s">
        <v>783</v>
      </c>
      <c r="J100" t="s">
        <v>783</v>
      </c>
      <c r="K100" t="s">
        <v>857</v>
      </c>
      <c r="L100" t="s">
        <v>857</v>
      </c>
      <c r="M100" t="s">
        <v>895</v>
      </c>
      <c r="N100" t="s">
        <v>895</v>
      </c>
      <c r="O100" t="s">
        <v>958</v>
      </c>
      <c r="P100" t="s">
        <v>958</v>
      </c>
      <c r="Q100" t="s">
        <v>961</v>
      </c>
      <c r="R100" t="s">
        <v>961</v>
      </c>
      <c r="S100" t="s">
        <v>965</v>
      </c>
      <c r="T100" t="str">
        <f t="shared" si="1"/>
        <v>OK</v>
      </c>
      <c r="U100" t="str">
        <f>IF(IF(MID(C100,5,1)="-", C100=D100, IF(OR(MID(C100,3,1)="/",MID(C100,3,1)="."), D100=MID(C100,7,4)&amp;"-"&amp;MID(C100,4,2)&amp;"-"&amp;LEFT(C100,2), D100=MID(C100,8,4)&amp;"-"&amp;TEXT(MATCH(MID(C100,4,3),{"Jan","Feb","Mar","Apr","May","Jun","Jul","Aug","Sep","Oct","Nov","Dec"},0),"00")&amp;"-"&amp;LEFT(C100,2))),"OK","CHECK")</f>
        <v>OK</v>
      </c>
    </row>
    <row r="101" spans="1:21" x14ac:dyDescent="0.35">
      <c r="A101" t="s">
        <v>118</v>
      </c>
      <c r="B101">
        <v>1</v>
      </c>
      <c r="C101" t="s">
        <v>311</v>
      </c>
      <c r="D101" t="s">
        <v>453</v>
      </c>
      <c r="E101" t="s">
        <v>511</v>
      </c>
      <c r="F101" t="s">
        <v>511</v>
      </c>
      <c r="G101" t="s">
        <v>567</v>
      </c>
      <c r="H101" t="s">
        <v>567</v>
      </c>
      <c r="I101" t="s">
        <v>782</v>
      </c>
      <c r="J101" t="s">
        <v>782</v>
      </c>
      <c r="K101" t="s">
        <v>859</v>
      </c>
      <c r="L101" t="s">
        <v>859</v>
      </c>
      <c r="M101" t="s">
        <v>923</v>
      </c>
      <c r="N101" t="s">
        <v>923</v>
      </c>
      <c r="O101" t="s">
        <v>958</v>
      </c>
      <c r="P101" t="s">
        <v>958</v>
      </c>
      <c r="Q101" t="s">
        <v>961</v>
      </c>
      <c r="R101" t="s">
        <v>961</v>
      </c>
      <c r="S101" t="s">
        <v>965</v>
      </c>
      <c r="T101" t="str">
        <f t="shared" si="1"/>
        <v>OK</v>
      </c>
      <c r="U101" t="str">
        <f>IF(IF(MID(C101,5,1)="-", C101=D101, IF(OR(MID(C101,3,1)="/",MID(C101,3,1)="."), D101=MID(C101,7,4)&amp;"-"&amp;MID(C101,4,2)&amp;"-"&amp;LEFT(C101,2), D101=MID(C101,8,4)&amp;"-"&amp;TEXT(MATCH(MID(C101,4,3),{"Jan","Feb","Mar","Apr","May","Jun","Jul","Aug","Sep","Oct","Nov","Dec"},0),"00")&amp;"-"&amp;LEFT(C101,2))),"OK","CHECK")</f>
        <v>OK</v>
      </c>
    </row>
    <row r="102" spans="1:21" x14ac:dyDescent="0.35">
      <c r="A102" t="s">
        <v>119</v>
      </c>
      <c r="B102">
        <v>1</v>
      </c>
      <c r="C102" t="s">
        <v>312</v>
      </c>
      <c r="D102" t="s">
        <v>454</v>
      </c>
      <c r="E102" t="s">
        <v>514</v>
      </c>
      <c r="F102" t="s">
        <v>514</v>
      </c>
      <c r="G102" t="s">
        <v>528</v>
      </c>
      <c r="H102" t="s">
        <v>528</v>
      </c>
      <c r="I102" t="s">
        <v>784</v>
      </c>
      <c r="J102" t="s">
        <v>784</v>
      </c>
      <c r="K102" t="s">
        <v>862</v>
      </c>
      <c r="L102" t="s">
        <v>862</v>
      </c>
      <c r="M102" t="s">
        <v>898</v>
      </c>
      <c r="N102" t="s">
        <v>898</v>
      </c>
      <c r="O102" t="s">
        <v>957</v>
      </c>
      <c r="P102" t="s">
        <v>957</v>
      </c>
      <c r="Q102" t="s">
        <v>962</v>
      </c>
      <c r="R102" t="s">
        <v>962</v>
      </c>
      <c r="S102" t="s">
        <v>965</v>
      </c>
      <c r="T102" t="str">
        <f t="shared" si="1"/>
        <v>OK</v>
      </c>
      <c r="U102" t="str">
        <f>IF(IF(MID(C102,5,1)="-", C102=D102, IF(OR(MID(C102,3,1)="/",MID(C102,3,1)="."), D102=MID(C102,7,4)&amp;"-"&amp;MID(C102,4,2)&amp;"-"&amp;LEFT(C102,2), D102=MID(C102,8,4)&amp;"-"&amp;TEXT(MATCH(MID(C102,4,3),{"Jan","Feb","Mar","Apr","May","Jun","Jul","Aug","Sep","Oct","Nov","Dec"},0),"00")&amp;"-"&amp;LEFT(C102,2))),"OK","CHECK")</f>
        <v>OK</v>
      </c>
    </row>
    <row r="103" spans="1:21" x14ac:dyDescent="0.35">
      <c r="A103" t="s">
        <v>120</v>
      </c>
      <c r="B103">
        <v>1</v>
      </c>
      <c r="C103" t="s">
        <v>313</v>
      </c>
      <c r="D103" t="s">
        <v>447</v>
      </c>
      <c r="E103" t="s">
        <v>513</v>
      </c>
      <c r="F103" t="s">
        <v>513</v>
      </c>
      <c r="G103" t="s">
        <v>607</v>
      </c>
      <c r="H103" t="s">
        <v>607</v>
      </c>
      <c r="I103" t="s">
        <v>785</v>
      </c>
      <c r="J103" t="s">
        <v>785</v>
      </c>
      <c r="K103" t="s">
        <v>861</v>
      </c>
      <c r="L103" t="s">
        <v>861</v>
      </c>
      <c r="M103" t="s">
        <v>924</v>
      </c>
      <c r="N103" t="s">
        <v>924</v>
      </c>
      <c r="O103" t="s">
        <v>956</v>
      </c>
      <c r="P103" t="s">
        <v>956</v>
      </c>
      <c r="Q103" t="s">
        <v>963</v>
      </c>
      <c r="R103" t="s">
        <v>963</v>
      </c>
      <c r="S103" t="s">
        <v>965</v>
      </c>
      <c r="T103" t="str">
        <f t="shared" si="1"/>
        <v>OK</v>
      </c>
      <c r="U103" t="str">
        <f>IF(IF(MID(C103,5,1)="-", C103=D103, IF(OR(MID(C103,3,1)="/",MID(C103,3,1)="."), D103=MID(C103,7,4)&amp;"-"&amp;MID(C103,4,2)&amp;"-"&amp;LEFT(C103,2), D103=MID(C103,8,4)&amp;"-"&amp;TEXT(MATCH(MID(C103,4,3),{"Jan","Feb","Mar","Apr","May","Jun","Jul","Aug","Sep","Oct","Nov","Dec"},0),"00")&amp;"-"&amp;LEFT(C103,2))),"OK","CHECK")</f>
        <v>OK</v>
      </c>
    </row>
    <row r="104" spans="1:21" x14ac:dyDescent="0.35">
      <c r="A104" t="s">
        <v>121</v>
      </c>
      <c r="B104">
        <v>1</v>
      </c>
      <c r="C104" t="s">
        <v>314</v>
      </c>
      <c r="D104" t="s">
        <v>314</v>
      </c>
      <c r="E104" t="s">
        <v>510</v>
      </c>
      <c r="F104" t="s">
        <v>510</v>
      </c>
      <c r="G104" t="s">
        <v>608</v>
      </c>
      <c r="H104" t="s">
        <v>608</v>
      </c>
      <c r="I104" t="s">
        <v>786</v>
      </c>
      <c r="J104" t="s">
        <v>786</v>
      </c>
      <c r="K104" t="s">
        <v>858</v>
      </c>
      <c r="L104" t="s">
        <v>858</v>
      </c>
      <c r="M104" t="s">
        <v>917</v>
      </c>
      <c r="N104" t="s">
        <v>917</v>
      </c>
      <c r="O104" t="s">
        <v>959</v>
      </c>
      <c r="P104" t="s">
        <v>959</v>
      </c>
      <c r="Q104" t="s">
        <v>961</v>
      </c>
      <c r="R104" t="s">
        <v>961</v>
      </c>
      <c r="S104" t="s">
        <v>965</v>
      </c>
      <c r="T104" t="str">
        <f t="shared" si="1"/>
        <v>OK</v>
      </c>
      <c r="U104" t="str">
        <f>IF(IF(MID(C104,5,1)="-", C104=D104, IF(OR(MID(C104,3,1)="/",MID(C104,3,1)="."), D104=MID(C104,7,4)&amp;"-"&amp;MID(C104,4,2)&amp;"-"&amp;LEFT(C104,2), D104=MID(C104,8,4)&amp;"-"&amp;TEXT(MATCH(MID(C104,4,3),{"Jan","Feb","Mar","Apr","May","Jun","Jul","Aug","Sep","Oct","Nov","Dec"},0),"00")&amp;"-"&amp;LEFT(C104,2))),"OK","CHECK")</f>
        <v>OK</v>
      </c>
    </row>
    <row r="105" spans="1:21" x14ac:dyDescent="0.35">
      <c r="A105" t="s">
        <v>122</v>
      </c>
      <c r="B105">
        <v>1</v>
      </c>
      <c r="C105" t="s">
        <v>315</v>
      </c>
      <c r="D105" t="s">
        <v>455</v>
      </c>
      <c r="E105" t="s">
        <v>512</v>
      </c>
      <c r="F105" t="s">
        <v>512</v>
      </c>
      <c r="G105" t="s">
        <v>609</v>
      </c>
      <c r="H105" t="s">
        <v>609</v>
      </c>
      <c r="I105" t="s">
        <v>787</v>
      </c>
      <c r="J105" t="s">
        <v>787</v>
      </c>
      <c r="K105" t="s">
        <v>860</v>
      </c>
      <c r="L105" t="s">
        <v>860</v>
      </c>
      <c r="M105" t="s">
        <v>885</v>
      </c>
      <c r="N105" t="s">
        <v>885</v>
      </c>
      <c r="O105" t="s">
        <v>956</v>
      </c>
      <c r="P105" t="s">
        <v>956</v>
      </c>
      <c r="Q105" t="s">
        <v>964</v>
      </c>
      <c r="R105" t="s">
        <v>964</v>
      </c>
      <c r="S105" t="s">
        <v>965</v>
      </c>
      <c r="T105" t="str">
        <f t="shared" si="1"/>
        <v>OK</v>
      </c>
      <c r="U105" t="str">
        <f>IF(IF(MID(C105,5,1)="-", C105=D105, IF(OR(MID(C105,3,1)="/",MID(C105,3,1)="."), D105=MID(C105,7,4)&amp;"-"&amp;MID(C105,4,2)&amp;"-"&amp;LEFT(C105,2), D105=MID(C105,8,4)&amp;"-"&amp;TEXT(MATCH(MID(C105,4,3),{"Jan","Feb","Mar","Apr","May","Jun","Jul","Aug","Sep","Oct","Nov","Dec"},0),"00")&amp;"-"&amp;LEFT(C105,2))),"OK","CHECK")</f>
        <v>OK</v>
      </c>
    </row>
    <row r="106" spans="1:21" x14ac:dyDescent="0.35">
      <c r="A106" t="s">
        <v>123</v>
      </c>
      <c r="B106">
        <v>1</v>
      </c>
      <c r="C106" t="s">
        <v>316</v>
      </c>
      <c r="D106" t="s">
        <v>432</v>
      </c>
      <c r="E106" t="s">
        <v>509</v>
      </c>
      <c r="F106" t="s">
        <v>509</v>
      </c>
      <c r="G106" t="s">
        <v>535</v>
      </c>
      <c r="H106" t="s">
        <v>535</v>
      </c>
      <c r="I106" t="s">
        <v>788</v>
      </c>
      <c r="J106" t="s">
        <v>788</v>
      </c>
      <c r="K106" t="s">
        <v>857</v>
      </c>
      <c r="L106" t="s">
        <v>857</v>
      </c>
      <c r="M106" t="s">
        <v>913</v>
      </c>
      <c r="N106" t="s">
        <v>913</v>
      </c>
      <c r="O106" t="s">
        <v>959</v>
      </c>
      <c r="P106" t="s">
        <v>959</v>
      </c>
      <c r="Q106" t="s">
        <v>964</v>
      </c>
      <c r="R106" t="s">
        <v>964</v>
      </c>
      <c r="S106" t="s">
        <v>965</v>
      </c>
      <c r="T106" t="str">
        <f t="shared" si="1"/>
        <v>OK</v>
      </c>
      <c r="U106" t="str">
        <f>IF(IF(MID(C106,5,1)="-", C106=D106, IF(OR(MID(C106,3,1)="/",MID(C106,3,1)="."), D106=MID(C106,7,4)&amp;"-"&amp;MID(C106,4,2)&amp;"-"&amp;LEFT(C106,2), D106=MID(C106,8,4)&amp;"-"&amp;TEXT(MATCH(MID(C106,4,3),{"Jan","Feb","Mar","Apr","May","Jun","Jul","Aug","Sep","Oct","Nov","Dec"},0),"00")&amp;"-"&amp;LEFT(C106,2))),"OK","CHECK")</f>
        <v>OK</v>
      </c>
    </row>
    <row r="107" spans="1:21" x14ac:dyDescent="0.35">
      <c r="A107" t="s">
        <v>124</v>
      </c>
      <c r="B107">
        <v>1</v>
      </c>
      <c r="C107" t="s">
        <v>317</v>
      </c>
      <c r="D107" t="s">
        <v>456</v>
      </c>
      <c r="E107" t="s">
        <v>509</v>
      </c>
      <c r="F107" t="s">
        <v>509</v>
      </c>
      <c r="G107" t="s">
        <v>610</v>
      </c>
      <c r="H107" t="s">
        <v>610</v>
      </c>
      <c r="I107" t="s">
        <v>789</v>
      </c>
      <c r="J107" t="s">
        <v>789</v>
      </c>
      <c r="K107" t="s">
        <v>857</v>
      </c>
      <c r="L107" t="s">
        <v>857</v>
      </c>
      <c r="M107" t="s">
        <v>925</v>
      </c>
      <c r="N107" t="s">
        <v>925</v>
      </c>
      <c r="O107" t="s">
        <v>958</v>
      </c>
      <c r="P107" t="s">
        <v>958</v>
      </c>
      <c r="Q107" t="s">
        <v>961</v>
      </c>
      <c r="R107" t="s">
        <v>961</v>
      </c>
      <c r="S107" t="s">
        <v>965</v>
      </c>
      <c r="T107" t="str">
        <f t="shared" si="1"/>
        <v>OK</v>
      </c>
      <c r="U107" t="str">
        <f>IF(IF(MID(C107,5,1)="-", C107=D107, IF(OR(MID(C107,3,1)="/",MID(C107,3,1)="."), D107=MID(C107,7,4)&amp;"-"&amp;MID(C107,4,2)&amp;"-"&amp;LEFT(C107,2), D107=MID(C107,8,4)&amp;"-"&amp;TEXT(MATCH(MID(C107,4,3),{"Jan","Feb","Mar","Apr","May","Jun","Jul","Aug","Sep","Oct","Nov","Dec"},0),"00")&amp;"-"&amp;LEFT(C107,2))),"OK","CHECK")</f>
        <v>OK</v>
      </c>
    </row>
    <row r="108" spans="1:21" x14ac:dyDescent="0.35">
      <c r="A108" t="s">
        <v>125</v>
      </c>
      <c r="B108">
        <v>1</v>
      </c>
      <c r="C108" t="s">
        <v>318</v>
      </c>
      <c r="D108" t="s">
        <v>457</v>
      </c>
      <c r="E108" t="s">
        <v>512</v>
      </c>
      <c r="F108" t="s">
        <v>512</v>
      </c>
      <c r="G108" t="s">
        <v>611</v>
      </c>
      <c r="H108" t="s">
        <v>611</v>
      </c>
      <c r="I108" t="s">
        <v>773</v>
      </c>
      <c r="J108" t="s">
        <v>773</v>
      </c>
      <c r="K108" t="s">
        <v>860</v>
      </c>
      <c r="L108" t="s">
        <v>860</v>
      </c>
      <c r="M108" t="s">
        <v>915</v>
      </c>
      <c r="N108" t="s">
        <v>915</v>
      </c>
      <c r="O108" t="s">
        <v>959</v>
      </c>
      <c r="P108" t="s">
        <v>959</v>
      </c>
      <c r="Q108" t="s">
        <v>963</v>
      </c>
      <c r="R108" t="s">
        <v>963</v>
      </c>
      <c r="S108" t="s">
        <v>965</v>
      </c>
      <c r="T108" t="str">
        <f t="shared" si="1"/>
        <v>OK</v>
      </c>
      <c r="U108" t="str">
        <f>IF(IF(MID(C108,5,1)="-", C108=D108, IF(OR(MID(C108,3,1)="/",MID(C108,3,1)="."), D108=MID(C108,7,4)&amp;"-"&amp;MID(C108,4,2)&amp;"-"&amp;LEFT(C108,2), D108=MID(C108,8,4)&amp;"-"&amp;TEXT(MATCH(MID(C108,4,3),{"Jan","Feb","Mar","Apr","May","Jun","Jul","Aug","Sep","Oct","Nov","Dec"},0),"00")&amp;"-"&amp;LEFT(C108,2))),"OK","CHECK")</f>
        <v>OK</v>
      </c>
    </row>
    <row r="109" spans="1:21" x14ac:dyDescent="0.35">
      <c r="A109" t="s">
        <v>126</v>
      </c>
      <c r="B109">
        <v>1</v>
      </c>
      <c r="C109" t="s">
        <v>319</v>
      </c>
      <c r="D109" t="s">
        <v>319</v>
      </c>
      <c r="E109" t="s">
        <v>510</v>
      </c>
      <c r="F109" t="s">
        <v>510</v>
      </c>
      <c r="G109" t="s">
        <v>612</v>
      </c>
      <c r="H109" t="s">
        <v>612</v>
      </c>
      <c r="I109" t="s">
        <v>790</v>
      </c>
      <c r="J109" t="s">
        <v>790</v>
      </c>
      <c r="K109" t="s">
        <v>858</v>
      </c>
      <c r="L109" t="s">
        <v>858</v>
      </c>
      <c r="M109" t="s">
        <v>892</v>
      </c>
      <c r="N109" t="s">
        <v>892</v>
      </c>
      <c r="O109" t="s">
        <v>960</v>
      </c>
      <c r="P109" t="s">
        <v>960</v>
      </c>
      <c r="Q109" t="s">
        <v>962</v>
      </c>
      <c r="R109" t="s">
        <v>962</v>
      </c>
      <c r="S109" t="s">
        <v>965</v>
      </c>
      <c r="T109" t="str">
        <f t="shared" si="1"/>
        <v>OK</v>
      </c>
      <c r="U109" t="str">
        <f>IF(IF(MID(C109,5,1)="-", C109=D109, IF(OR(MID(C109,3,1)="/",MID(C109,3,1)="."), D109=MID(C109,7,4)&amp;"-"&amp;MID(C109,4,2)&amp;"-"&amp;LEFT(C109,2), D109=MID(C109,8,4)&amp;"-"&amp;TEXT(MATCH(MID(C109,4,3),{"Jan","Feb","Mar","Apr","May","Jun","Jul","Aug","Sep","Oct","Nov","Dec"},0),"00")&amp;"-"&amp;LEFT(C109,2))),"OK","CHECK")</f>
        <v>OK</v>
      </c>
    </row>
    <row r="110" spans="1:21" x14ac:dyDescent="0.35">
      <c r="A110" t="s">
        <v>127</v>
      </c>
      <c r="B110">
        <v>1</v>
      </c>
      <c r="C110" t="s">
        <v>320</v>
      </c>
      <c r="D110" t="s">
        <v>458</v>
      </c>
      <c r="E110" t="s">
        <v>512</v>
      </c>
      <c r="F110" t="s">
        <v>512</v>
      </c>
      <c r="G110" t="s">
        <v>613</v>
      </c>
      <c r="H110" t="s">
        <v>613</v>
      </c>
      <c r="I110" t="s">
        <v>791</v>
      </c>
      <c r="J110" t="s">
        <v>791</v>
      </c>
      <c r="K110" t="s">
        <v>860</v>
      </c>
      <c r="L110" t="s">
        <v>860</v>
      </c>
      <c r="M110" t="s">
        <v>903</v>
      </c>
      <c r="N110" t="s">
        <v>903</v>
      </c>
      <c r="O110" t="s">
        <v>958</v>
      </c>
      <c r="P110" t="s">
        <v>958</v>
      </c>
      <c r="Q110" t="s">
        <v>962</v>
      </c>
      <c r="R110" t="s">
        <v>962</v>
      </c>
      <c r="S110" t="s">
        <v>965</v>
      </c>
      <c r="T110" t="str">
        <f t="shared" si="1"/>
        <v>OK</v>
      </c>
      <c r="U110" t="str">
        <f>IF(IF(MID(C110,5,1)="-", C110=D110, IF(OR(MID(C110,3,1)="/",MID(C110,3,1)="."), D110=MID(C110,7,4)&amp;"-"&amp;MID(C110,4,2)&amp;"-"&amp;LEFT(C110,2), D110=MID(C110,8,4)&amp;"-"&amp;TEXT(MATCH(MID(C110,4,3),{"Jan","Feb","Mar","Apr","May","Jun","Jul","Aug","Sep","Oct","Nov","Dec"},0),"00")&amp;"-"&amp;LEFT(C110,2))),"OK","CHECK")</f>
        <v>OK</v>
      </c>
    </row>
    <row r="111" spans="1:21" x14ac:dyDescent="0.35">
      <c r="A111" t="s">
        <v>128</v>
      </c>
      <c r="B111">
        <v>1</v>
      </c>
      <c r="C111" t="s">
        <v>321</v>
      </c>
      <c r="D111" t="s">
        <v>427</v>
      </c>
      <c r="E111" t="s">
        <v>512</v>
      </c>
      <c r="F111" t="s">
        <v>512</v>
      </c>
      <c r="G111" t="s">
        <v>614</v>
      </c>
      <c r="H111" t="s">
        <v>614</v>
      </c>
      <c r="I111" t="s">
        <v>792</v>
      </c>
      <c r="J111" t="s">
        <v>792</v>
      </c>
      <c r="K111" t="s">
        <v>860</v>
      </c>
      <c r="L111" t="s">
        <v>860</v>
      </c>
      <c r="M111" t="s">
        <v>904</v>
      </c>
      <c r="N111" t="s">
        <v>904</v>
      </c>
      <c r="O111" t="s">
        <v>958</v>
      </c>
      <c r="P111" t="s">
        <v>958</v>
      </c>
      <c r="Q111" t="s">
        <v>964</v>
      </c>
      <c r="R111" t="s">
        <v>964</v>
      </c>
      <c r="S111" t="s">
        <v>965</v>
      </c>
      <c r="T111" t="str">
        <f t="shared" si="1"/>
        <v>OK</v>
      </c>
      <c r="U111" t="str">
        <f>IF(IF(MID(C111,5,1)="-", C111=D111, IF(OR(MID(C111,3,1)="/",MID(C111,3,1)="."), D111=MID(C111,7,4)&amp;"-"&amp;MID(C111,4,2)&amp;"-"&amp;LEFT(C111,2), D111=MID(C111,8,4)&amp;"-"&amp;TEXT(MATCH(MID(C111,4,3),{"Jan","Feb","Mar","Apr","May","Jun","Jul","Aug","Sep","Oct","Nov","Dec"},0),"00")&amp;"-"&amp;LEFT(C111,2))),"OK","CHECK")</f>
        <v>OK</v>
      </c>
    </row>
    <row r="112" spans="1:21" x14ac:dyDescent="0.35">
      <c r="A112" t="s">
        <v>129</v>
      </c>
      <c r="B112">
        <v>1</v>
      </c>
      <c r="C112" t="s">
        <v>322</v>
      </c>
      <c r="D112" t="s">
        <v>322</v>
      </c>
      <c r="E112" t="s">
        <v>514</v>
      </c>
      <c r="F112" t="s">
        <v>514</v>
      </c>
      <c r="G112" t="s">
        <v>615</v>
      </c>
      <c r="H112" t="s">
        <v>615</v>
      </c>
      <c r="I112" t="s">
        <v>790</v>
      </c>
      <c r="J112" t="s">
        <v>790</v>
      </c>
      <c r="K112" t="s">
        <v>862</v>
      </c>
      <c r="L112" t="s">
        <v>862</v>
      </c>
      <c r="M112" t="s">
        <v>926</v>
      </c>
      <c r="N112" t="s">
        <v>926</v>
      </c>
      <c r="O112" t="s">
        <v>956</v>
      </c>
      <c r="P112" t="s">
        <v>956</v>
      </c>
      <c r="Q112" t="s">
        <v>963</v>
      </c>
      <c r="R112" t="s">
        <v>963</v>
      </c>
      <c r="S112" t="s">
        <v>965</v>
      </c>
      <c r="T112" t="str">
        <f t="shared" si="1"/>
        <v>OK</v>
      </c>
      <c r="U112" t="str">
        <f>IF(IF(MID(C112,5,1)="-", C112=D112, IF(OR(MID(C112,3,1)="/",MID(C112,3,1)="."), D112=MID(C112,7,4)&amp;"-"&amp;MID(C112,4,2)&amp;"-"&amp;LEFT(C112,2), D112=MID(C112,8,4)&amp;"-"&amp;TEXT(MATCH(MID(C112,4,3),{"Jan","Feb","Mar","Apr","May","Jun","Jul","Aug","Sep","Oct","Nov","Dec"},0),"00")&amp;"-"&amp;LEFT(C112,2))),"OK","CHECK")</f>
        <v>OK</v>
      </c>
    </row>
    <row r="113" spans="1:21" x14ac:dyDescent="0.35">
      <c r="A113" t="s">
        <v>130</v>
      </c>
      <c r="B113">
        <v>2</v>
      </c>
      <c r="C113" t="s">
        <v>323</v>
      </c>
      <c r="D113" t="s">
        <v>459</v>
      </c>
      <c r="E113" t="s">
        <v>513</v>
      </c>
      <c r="F113" t="s">
        <v>513</v>
      </c>
      <c r="G113" t="s">
        <v>616</v>
      </c>
      <c r="H113" t="s">
        <v>616</v>
      </c>
      <c r="I113" t="s">
        <v>778</v>
      </c>
      <c r="J113" t="s">
        <v>778</v>
      </c>
      <c r="K113" t="s">
        <v>861</v>
      </c>
      <c r="L113" t="s">
        <v>861</v>
      </c>
      <c r="M113" t="s">
        <v>905</v>
      </c>
      <c r="N113" t="s">
        <v>905</v>
      </c>
      <c r="O113" t="s">
        <v>960</v>
      </c>
      <c r="P113" t="s">
        <v>960</v>
      </c>
      <c r="Q113" t="s">
        <v>962</v>
      </c>
      <c r="R113" t="s">
        <v>962</v>
      </c>
      <c r="S113" t="s">
        <v>965</v>
      </c>
      <c r="T113" t="str">
        <f t="shared" si="1"/>
        <v>OK</v>
      </c>
      <c r="U113" t="str">
        <f>IF(IF(MID(C113,5,1)="-", C113=D113, IF(OR(MID(C113,3,1)="/",MID(C113,3,1)="."), D113=MID(C113,7,4)&amp;"-"&amp;MID(C113,4,2)&amp;"-"&amp;LEFT(C113,2), D113=MID(C113,8,4)&amp;"-"&amp;TEXT(MATCH(MID(C113,4,3),{"Jan","Feb","Mar","Apr","May","Jun","Jul","Aug","Sep","Oct","Nov","Dec"},0),"00")&amp;"-"&amp;LEFT(C113,2))),"OK","CHECK")</f>
        <v>OK</v>
      </c>
    </row>
    <row r="114" spans="1:21" x14ac:dyDescent="0.35">
      <c r="A114" t="s">
        <v>131</v>
      </c>
      <c r="B114">
        <v>2</v>
      </c>
      <c r="C114" t="s">
        <v>324</v>
      </c>
      <c r="D114" t="s">
        <v>324</v>
      </c>
      <c r="E114" t="s">
        <v>509</v>
      </c>
      <c r="F114" t="s">
        <v>509</v>
      </c>
      <c r="G114" t="s">
        <v>617</v>
      </c>
      <c r="H114" t="s">
        <v>617</v>
      </c>
      <c r="I114" t="s">
        <v>793</v>
      </c>
      <c r="J114" t="s">
        <v>793</v>
      </c>
      <c r="K114" t="s">
        <v>857</v>
      </c>
      <c r="L114" t="s">
        <v>857</v>
      </c>
      <c r="M114" t="s">
        <v>927</v>
      </c>
      <c r="N114" t="s">
        <v>927</v>
      </c>
      <c r="O114" t="s">
        <v>960</v>
      </c>
      <c r="P114" t="s">
        <v>960</v>
      </c>
      <c r="Q114" t="s">
        <v>961</v>
      </c>
      <c r="R114" t="s">
        <v>961</v>
      </c>
      <c r="S114" t="s">
        <v>965</v>
      </c>
      <c r="T114" t="str">
        <f t="shared" si="1"/>
        <v>OK</v>
      </c>
      <c r="U114" t="str">
        <f>IF(IF(MID(C114,5,1)="-", C114=D114, IF(OR(MID(C114,3,1)="/",MID(C114,3,1)="."), D114=MID(C114,7,4)&amp;"-"&amp;MID(C114,4,2)&amp;"-"&amp;LEFT(C114,2), D114=MID(C114,8,4)&amp;"-"&amp;TEXT(MATCH(MID(C114,4,3),{"Jan","Feb","Mar","Apr","May","Jun","Jul","Aug","Sep","Oct","Nov","Dec"},0),"00")&amp;"-"&amp;LEFT(C114,2))),"OK","CHECK")</f>
        <v>OK</v>
      </c>
    </row>
    <row r="115" spans="1:21" x14ac:dyDescent="0.35">
      <c r="A115" t="s">
        <v>132</v>
      </c>
      <c r="B115">
        <v>2</v>
      </c>
      <c r="C115" t="s">
        <v>325</v>
      </c>
      <c r="D115" t="s">
        <v>460</v>
      </c>
      <c r="E115" t="s">
        <v>514</v>
      </c>
      <c r="F115" t="s">
        <v>514</v>
      </c>
      <c r="G115" t="s">
        <v>618</v>
      </c>
      <c r="H115" t="s">
        <v>618</v>
      </c>
      <c r="I115" t="s">
        <v>794</v>
      </c>
      <c r="J115" t="s">
        <v>794</v>
      </c>
      <c r="K115" t="s">
        <v>862</v>
      </c>
      <c r="L115" t="s">
        <v>862</v>
      </c>
      <c r="M115" t="s">
        <v>928</v>
      </c>
      <c r="N115" t="s">
        <v>928</v>
      </c>
      <c r="O115" t="s">
        <v>960</v>
      </c>
      <c r="P115" t="s">
        <v>960</v>
      </c>
      <c r="Q115" t="s">
        <v>962</v>
      </c>
      <c r="R115" t="s">
        <v>962</v>
      </c>
      <c r="S115" t="s">
        <v>965</v>
      </c>
      <c r="T115" t="str">
        <f t="shared" si="1"/>
        <v>OK</v>
      </c>
      <c r="U115" t="str">
        <f>IF(IF(MID(C115,5,1)="-", C115=D115, IF(OR(MID(C115,3,1)="/",MID(C115,3,1)="."), D115=MID(C115,7,4)&amp;"-"&amp;MID(C115,4,2)&amp;"-"&amp;LEFT(C115,2), D115=MID(C115,8,4)&amp;"-"&amp;TEXT(MATCH(MID(C115,4,3),{"Jan","Feb","Mar","Apr","May","Jun","Jul","Aug","Sep","Oct","Nov","Dec"},0),"00")&amp;"-"&amp;LEFT(C115,2))),"OK","CHECK")</f>
        <v>OK</v>
      </c>
    </row>
    <row r="116" spans="1:21" x14ac:dyDescent="0.35">
      <c r="A116" t="s">
        <v>133</v>
      </c>
      <c r="B116">
        <v>1</v>
      </c>
      <c r="C116" t="s">
        <v>326</v>
      </c>
      <c r="D116" t="s">
        <v>461</v>
      </c>
      <c r="E116" t="s">
        <v>509</v>
      </c>
      <c r="F116" t="s">
        <v>509</v>
      </c>
      <c r="G116" t="s">
        <v>619</v>
      </c>
      <c r="H116" t="s">
        <v>619</v>
      </c>
      <c r="I116" t="s">
        <v>718</v>
      </c>
      <c r="J116" t="s">
        <v>718</v>
      </c>
      <c r="K116" t="s">
        <v>857</v>
      </c>
      <c r="L116" t="s">
        <v>857</v>
      </c>
      <c r="M116" t="s">
        <v>904</v>
      </c>
      <c r="N116" t="s">
        <v>904</v>
      </c>
      <c r="O116" t="s">
        <v>957</v>
      </c>
      <c r="P116" t="s">
        <v>957</v>
      </c>
      <c r="Q116" t="s">
        <v>961</v>
      </c>
      <c r="R116" t="s">
        <v>961</v>
      </c>
      <c r="S116" t="s">
        <v>965</v>
      </c>
      <c r="T116" t="str">
        <f t="shared" si="1"/>
        <v>OK</v>
      </c>
      <c r="U116" t="str">
        <f>IF(IF(MID(C116,5,1)="-", C116=D116, IF(OR(MID(C116,3,1)="/",MID(C116,3,1)="."), D116=MID(C116,7,4)&amp;"-"&amp;MID(C116,4,2)&amp;"-"&amp;LEFT(C116,2), D116=MID(C116,8,4)&amp;"-"&amp;TEXT(MATCH(MID(C116,4,3),{"Jan","Feb","Mar","Apr","May","Jun","Jul","Aug","Sep","Oct","Nov","Dec"},0),"00")&amp;"-"&amp;LEFT(C116,2))),"OK","CHECK")</f>
        <v>OK</v>
      </c>
    </row>
    <row r="117" spans="1:21" x14ac:dyDescent="0.35">
      <c r="A117" t="s">
        <v>134</v>
      </c>
      <c r="B117">
        <v>1</v>
      </c>
      <c r="C117" t="s">
        <v>327</v>
      </c>
      <c r="D117" t="s">
        <v>412</v>
      </c>
      <c r="E117" t="s">
        <v>513</v>
      </c>
      <c r="F117" t="s">
        <v>513</v>
      </c>
      <c r="G117" t="s">
        <v>620</v>
      </c>
      <c r="H117" t="s">
        <v>620</v>
      </c>
      <c r="I117" t="s">
        <v>776</v>
      </c>
      <c r="J117" t="s">
        <v>776</v>
      </c>
      <c r="K117" t="s">
        <v>861</v>
      </c>
      <c r="L117" t="s">
        <v>861</v>
      </c>
      <c r="M117" t="s">
        <v>929</v>
      </c>
      <c r="N117" t="s">
        <v>929</v>
      </c>
      <c r="O117" t="s">
        <v>957</v>
      </c>
      <c r="P117" t="s">
        <v>957</v>
      </c>
      <c r="Q117" t="s">
        <v>963</v>
      </c>
      <c r="R117" t="s">
        <v>963</v>
      </c>
      <c r="S117" t="s">
        <v>965</v>
      </c>
      <c r="T117" t="str">
        <f t="shared" si="1"/>
        <v>OK</v>
      </c>
      <c r="U117" t="str">
        <f>IF(IF(MID(C117,5,1)="-", C117=D117, IF(OR(MID(C117,3,1)="/",MID(C117,3,1)="."), D117=MID(C117,7,4)&amp;"-"&amp;MID(C117,4,2)&amp;"-"&amp;LEFT(C117,2), D117=MID(C117,8,4)&amp;"-"&amp;TEXT(MATCH(MID(C117,4,3),{"Jan","Feb","Mar","Apr","May","Jun","Jul","Aug","Sep","Oct","Nov","Dec"},0),"00")&amp;"-"&amp;LEFT(C117,2))),"OK","CHECK")</f>
        <v>OK</v>
      </c>
    </row>
    <row r="118" spans="1:21" x14ac:dyDescent="0.35">
      <c r="A118" t="s">
        <v>135</v>
      </c>
      <c r="B118">
        <v>1</v>
      </c>
      <c r="C118" t="s">
        <v>328</v>
      </c>
      <c r="D118" t="s">
        <v>462</v>
      </c>
      <c r="E118" t="s">
        <v>510</v>
      </c>
      <c r="F118" t="s">
        <v>510</v>
      </c>
      <c r="G118" t="s">
        <v>621</v>
      </c>
      <c r="H118" t="s">
        <v>621</v>
      </c>
      <c r="I118" t="s">
        <v>775</v>
      </c>
      <c r="J118" t="s">
        <v>775</v>
      </c>
      <c r="K118" t="s">
        <v>858</v>
      </c>
      <c r="L118" t="s">
        <v>858</v>
      </c>
      <c r="M118" t="s">
        <v>921</v>
      </c>
      <c r="N118" t="s">
        <v>921</v>
      </c>
      <c r="O118" t="s">
        <v>957</v>
      </c>
      <c r="P118" t="s">
        <v>957</v>
      </c>
      <c r="Q118" t="s">
        <v>962</v>
      </c>
      <c r="R118" t="s">
        <v>962</v>
      </c>
      <c r="S118" t="s">
        <v>965</v>
      </c>
      <c r="T118" t="str">
        <f t="shared" si="1"/>
        <v>OK</v>
      </c>
      <c r="U118" t="str">
        <f>IF(IF(MID(C118,5,1)="-", C118=D118, IF(OR(MID(C118,3,1)="/",MID(C118,3,1)="."), D118=MID(C118,7,4)&amp;"-"&amp;MID(C118,4,2)&amp;"-"&amp;LEFT(C118,2), D118=MID(C118,8,4)&amp;"-"&amp;TEXT(MATCH(MID(C118,4,3),{"Jan","Feb","Mar","Apr","May","Jun","Jul","Aug","Sep","Oct","Nov","Dec"},0),"00")&amp;"-"&amp;LEFT(C118,2))),"OK","CHECK")</f>
        <v>OK</v>
      </c>
    </row>
    <row r="119" spans="1:21" x14ac:dyDescent="0.35">
      <c r="A119" t="s">
        <v>136</v>
      </c>
      <c r="B119">
        <v>1</v>
      </c>
      <c r="C119" t="s">
        <v>329</v>
      </c>
      <c r="D119" t="s">
        <v>463</v>
      </c>
      <c r="E119" t="s">
        <v>514</v>
      </c>
      <c r="F119" t="s">
        <v>514</v>
      </c>
      <c r="G119" t="s">
        <v>622</v>
      </c>
      <c r="H119" t="s">
        <v>622</v>
      </c>
      <c r="I119" t="s">
        <v>795</v>
      </c>
      <c r="J119" t="s">
        <v>795</v>
      </c>
      <c r="K119" t="s">
        <v>862</v>
      </c>
      <c r="L119" t="s">
        <v>862</v>
      </c>
      <c r="M119" t="s">
        <v>899</v>
      </c>
      <c r="N119" t="s">
        <v>899</v>
      </c>
      <c r="O119" t="s">
        <v>959</v>
      </c>
      <c r="P119" t="s">
        <v>959</v>
      </c>
      <c r="Q119" t="s">
        <v>962</v>
      </c>
      <c r="R119" t="s">
        <v>962</v>
      </c>
      <c r="S119" t="s">
        <v>965</v>
      </c>
      <c r="T119" t="str">
        <f t="shared" si="1"/>
        <v>OK</v>
      </c>
      <c r="U119" t="str">
        <f>IF(IF(MID(C119,5,1)="-", C119=D119, IF(OR(MID(C119,3,1)="/",MID(C119,3,1)="."), D119=MID(C119,7,4)&amp;"-"&amp;MID(C119,4,2)&amp;"-"&amp;LEFT(C119,2), D119=MID(C119,8,4)&amp;"-"&amp;TEXT(MATCH(MID(C119,4,3),{"Jan","Feb","Mar","Apr","May","Jun","Jul","Aug","Sep","Oct","Nov","Dec"},0),"00")&amp;"-"&amp;LEFT(C119,2))),"OK","CHECK")</f>
        <v>OK</v>
      </c>
    </row>
    <row r="120" spans="1:21" x14ac:dyDescent="0.35">
      <c r="A120" t="s">
        <v>137</v>
      </c>
      <c r="B120">
        <v>1</v>
      </c>
      <c r="C120" t="s">
        <v>330</v>
      </c>
      <c r="D120" t="s">
        <v>464</v>
      </c>
      <c r="E120" t="s">
        <v>513</v>
      </c>
      <c r="F120" t="s">
        <v>513</v>
      </c>
      <c r="G120" t="s">
        <v>623</v>
      </c>
      <c r="H120" t="s">
        <v>623</v>
      </c>
      <c r="I120" t="s">
        <v>796</v>
      </c>
      <c r="J120" t="s">
        <v>796</v>
      </c>
      <c r="K120" t="s">
        <v>861</v>
      </c>
      <c r="L120" t="s">
        <v>861</v>
      </c>
      <c r="M120" t="s">
        <v>915</v>
      </c>
      <c r="N120" t="s">
        <v>915</v>
      </c>
      <c r="P120" t="s">
        <v>955</v>
      </c>
      <c r="Q120" t="s">
        <v>961</v>
      </c>
      <c r="R120" t="s">
        <v>961</v>
      </c>
      <c r="S120" t="s">
        <v>965</v>
      </c>
      <c r="T120" t="str">
        <f t="shared" si="1"/>
        <v>OK</v>
      </c>
      <c r="U120" t="str">
        <f>IF(IF(MID(C120,5,1)="-", C120=D120, IF(OR(MID(C120,3,1)="/",MID(C120,3,1)="."), D120=MID(C120,7,4)&amp;"-"&amp;MID(C120,4,2)&amp;"-"&amp;LEFT(C120,2), D120=MID(C120,8,4)&amp;"-"&amp;TEXT(MATCH(MID(C120,4,3),{"Jan","Feb","Mar","Apr","May","Jun","Jul","Aug","Sep","Oct","Nov","Dec"},0),"00")&amp;"-"&amp;LEFT(C120,2))),"OK","CHECK")</f>
        <v>OK</v>
      </c>
    </row>
    <row r="121" spans="1:21" x14ac:dyDescent="0.35">
      <c r="A121" t="s">
        <v>138</v>
      </c>
      <c r="B121">
        <v>1</v>
      </c>
      <c r="C121" t="s">
        <v>331</v>
      </c>
      <c r="D121" t="s">
        <v>331</v>
      </c>
      <c r="E121" t="s">
        <v>513</v>
      </c>
      <c r="F121" t="s">
        <v>513</v>
      </c>
      <c r="G121" t="s">
        <v>624</v>
      </c>
      <c r="H121" t="s">
        <v>624</v>
      </c>
      <c r="I121" t="s">
        <v>706</v>
      </c>
      <c r="J121" t="s">
        <v>706</v>
      </c>
      <c r="K121" t="s">
        <v>861</v>
      </c>
      <c r="L121" t="s">
        <v>861</v>
      </c>
      <c r="M121" t="s">
        <v>930</v>
      </c>
      <c r="N121" t="s">
        <v>930</v>
      </c>
      <c r="O121" t="s">
        <v>958</v>
      </c>
      <c r="P121" t="s">
        <v>958</v>
      </c>
      <c r="Q121" t="s">
        <v>963</v>
      </c>
      <c r="R121" t="s">
        <v>963</v>
      </c>
      <c r="S121" t="s">
        <v>965</v>
      </c>
      <c r="T121" t="str">
        <f t="shared" si="1"/>
        <v>OK</v>
      </c>
      <c r="U121" t="str">
        <f>IF(IF(MID(C121,5,1)="-", C121=D121, IF(OR(MID(C121,3,1)="/",MID(C121,3,1)="."), D121=MID(C121,7,4)&amp;"-"&amp;MID(C121,4,2)&amp;"-"&amp;LEFT(C121,2), D121=MID(C121,8,4)&amp;"-"&amp;TEXT(MATCH(MID(C121,4,3),{"Jan","Feb","Mar","Apr","May","Jun","Jul","Aug","Sep","Oct","Nov","Dec"},0),"00")&amp;"-"&amp;LEFT(C121,2))),"OK","CHECK")</f>
        <v>OK</v>
      </c>
    </row>
    <row r="122" spans="1:21" x14ac:dyDescent="0.35">
      <c r="A122" t="s">
        <v>139</v>
      </c>
      <c r="B122">
        <v>1</v>
      </c>
      <c r="C122" t="s">
        <v>332</v>
      </c>
      <c r="D122" t="s">
        <v>465</v>
      </c>
      <c r="E122" t="s">
        <v>514</v>
      </c>
      <c r="F122" t="s">
        <v>514</v>
      </c>
      <c r="G122" t="s">
        <v>625</v>
      </c>
      <c r="H122" t="s">
        <v>625</v>
      </c>
      <c r="I122" t="s">
        <v>797</v>
      </c>
      <c r="J122" t="s">
        <v>797</v>
      </c>
      <c r="K122" t="s">
        <v>862</v>
      </c>
      <c r="L122" t="s">
        <v>862</v>
      </c>
      <c r="M122" t="s">
        <v>931</v>
      </c>
      <c r="N122" t="s">
        <v>931</v>
      </c>
      <c r="O122" t="s">
        <v>957</v>
      </c>
      <c r="P122" t="s">
        <v>957</v>
      </c>
      <c r="Q122" t="s">
        <v>961</v>
      </c>
      <c r="R122" t="s">
        <v>961</v>
      </c>
      <c r="S122" t="s">
        <v>965</v>
      </c>
      <c r="T122" t="str">
        <f t="shared" si="1"/>
        <v>OK</v>
      </c>
      <c r="U122" t="str">
        <f>IF(IF(MID(C122,5,1)="-", C122=D122, IF(OR(MID(C122,3,1)="/",MID(C122,3,1)="."), D122=MID(C122,7,4)&amp;"-"&amp;MID(C122,4,2)&amp;"-"&amp;LEFT(C122,2), D122=MID(C122,8,4)&amp;"-"&amp;TEXT(MATCH(MID(C122,4,3),{"Jan","Feb","Mar","Apr","May","Jun","Jul","Aug","Sep","Oct","Nov","Dec"},0),"00")&amp;"-"&amp;LEFT(C122,2))),"OK","CHECK")</f>
        <v>OK</v>
      </c>
    </row>
    <row r="123" spans="1:21" x14ac:dyDescent="0.35">
      <c r="A123" t="s">
        <v>140</v>
      </c>
      <c r="B123">
        <v>1</v>
      </c>
      <c r="C123" t="s">
        <v>333</v>
      </c>
      <c r="D123" t="s">
        <v>333</v>
      </c>
      <c r="E123" t="s">
        <v>509</v>
      </c>
      <c r="F123" t="s">
        <v>509</v>
      </c>
      <c r="G123" t="s">
        <v>599</v>
      </c>
      <c r="H123" t="s">
        <v>599</v>
      </c>
      <c r="I123" t="s">
        <v>798</v>
      </c>
      <c r="J123" t="s">
        <v>798</v>
      </c>
      <c r="K123" t="s">
        <v>857</v>
      </c>
      <c r="L123" t="s">
        <v>857</v>
      </c>
      <c r="M123" t="s">
        <v>915</v>
      </c>
      <c r="N123" t="s">
        <v>915</v>
      </c>
      <c r="O123" t="s">
        <v>956</v>
      </c>
      <c r="P123" t="s">
        <v>956</v>
      </c>
      <c r="Q123" t="s">
        <v>962</v>
      </c>
      <c r="R123" t="s">
        <v>962</v>
      </c>
      <c r="S123" t="s">
        <v>965</v>
      </c>
      <c r="T123" t="str">
        <f t="shared" si="1"/>
        <v>OK</v>
      </c>
      <c r="U123" t="str">
        <f>IF(IF(MID(C123,5,1)="-", C123=D123, IF(OR(MID(C123,3,1)="/",MID(C123,3,1)="."), D123=MID(C123,7,4)&amp;"-"&amp;MID(C123,4,2)&amp;"-"&amp;LEFT(C123,2), D123=MID(C123,8,4)&amp;"-"&amp;TEXT(MATCH(MID(C123,4,3),{"Jan","Feb","Mar","Apr","May","Jun","Jul","Aug","Sep","Oct","Nov","Dec"},0),"00")&amp;"-"&amp;LEFT(C123,2))),"OK","CHECK")</f>
        <v>OK</v>
      </c>
    </row>
    <row r="124" spans="1:21" x14ac:dyDescent="0.35">
      <c r="A124" t="s">
        <v>141</v>
      </c>
      <c r="B124">
        <v>1</v>
      </c>
      <c r="C124" t="s">
        <v>246</v>
      </c>
      <c r="D124" t="s">
        <v>246</v>
      </c>
      <c r="E124" t="s">
        <v>511</v>
      </c>
      <c r="F124" t="s">
        <v>511</v>
      </c>
      <c r="G124" t="s">
        <v>626</v>
      </c>
      <c r="H124" t="s">
        <v>626</v>
      </c>
      <c r="I124" t="s">
        <v>799</v>
      </c>
      <c r="J124" t="s">
        <v>799</v>
      </c>
      <c r="K124" t="s">
        <v>859</v>
      </c>
      <c r="L124" t="s">
        <v>859</v>
      </c>
      <c r="M124" t="s">
        <v>876</v>
      </c>
      <c r="N124" t="s">
        <v>876</v>
      </c>
      <c r="O124" t="s">
        <v>958</v>
      </c>
      <c r="P124" t="s">
        <v>958</v>
      </c>
      <c r="Q124" t="s">
        <v>964</v>
      </c>
      <c r="R124" t="s">
        <v>964</v>
      </c>
      <c r="S124" t="s">
        <v>965</v>
      </c>
      <c r="T124" t="str">
        <f t="shared" si="1"/>
        <v>OK</v>
      </c>
      <c r="U124" t="str">
        <f>IF(IF(MID(C124,5,1)="-", C124=D124, IF(OR(MID(C124,3,1)="/",MID(C124,3,1)="."), D124=MID(C124,7,4)&amp;"-"&amp;MID(C124,4,2)&amp;"-"&amp;LEFT(C124,2), D124=MID(C124,8,4)&amp;"-"&amp;TEXT(MATCH(MID(C124,4,3),{"Jan","Feb","Mar","Apr","May","Jun","Jul","Aug","Sep","Oct","Nov","Dec"},0),"00")&amp;"-"&amp;LEFT(C124,2))),"OK","CHECK")</f>
        <v>OK</v>
      </c>
    </row>
    <row r="125" spans="1:21" x14ac:dyDescent="0.35">
      <c r="A125" t="s">
        <v>142</v>
      </c>
      <c r="B125">
        <v>1</v>
      </c>
      <c r="C125" t="s">
        <v>334</v>
      </c>
      <c r="D125" t="s">
        <v>466</v>
      </c>
      <c r="E125" t="s">
        <v>509</v>
      </c>
      <c r="F125" t="s">
        <v>509</v>
      </c>
      <c r="G125" t="s">
        <v>627</v>
      </c>
      <c r="H125" t="s">
        <v>627</v>
      </c>
      <c r="I125" t="s">
        <v>800</v>
      </c>
      <c r="J125" t="s">
        <v>800</v>
      </c>
      <c r="K125" t="s">
        <v>857</v>
      </c>
      <c r="L125" t="s">
        <v>857</v>
      </c>
      <c r="M125" t="s">
        <v>932</v>
      </c>
      <c r="N125" t="s">
        <v>932</v>
      </c>
      <c r="O125" t="s">
        <v>958</v>
      </c>
      <c r="P125" t="s">
        <v>958</v>
      </c>
      <c r="Q125" t="s">
        <v>961</v>
      </c>
      <c r="R125" t="s">
        <v>961</v>
      </c>
      <c r="S125" t="s">
        <v>965</v>
      </c>
      <c r="T125" t="str">
        <f t="shared" si="1"/>
        <v>OK</v>
      </c>
      <c r="U125" t="str">
        <f>IF(IF(MID(C125,5,1)="-", C125=D125, IF(OR(MID(C125,3,1)="/",MID(C125,3,1)="."), D125=MID(C125,7,4)&amp;"-"&amp;MID(C125,4,2)&amp;"-"&amp;LEFT(C125,2), D125=MID(C125,8,4)&amp;"-"&amp;TEXT(MATCH(MID(C125,4,3),{"Jan","Feb","Mar","Apr","May","Jun","Jul","Aug","Sep","Oct","Nov","Dec"},0),"00")&amp;"-"&amp;LEFT(C125,2))),"OK","CHECK")</f>
        <v>OK</v>
      </c>
    </row>
    <row r="126" spans="1:21" x14ac:dyDescent="0.35">
      <c r="A126" t="s">
        <v>143</v>
      </c>
      <c r="B126">
        <v>2</v>
      </c>
      <c r="C126" t="s">
        <v>335</v>
      </c>
      <c r="D126" t="s">
        <v>335</v>
      </c>
      <c r="E126" t="s">
        <v>512</v>
      </c>
      <c r="F126" t="s">
        <v>512</v>
      </c>
      <c r="G126" t="s">
        <v>628</v>
      </c>
      <c r="H126" t="s">
        <v>628</v>
      </c>
      <c r="I126" t="s">
        <v>801</v>
      </c>
      <c r="J126" t="s">
        <v>801</v>
      </c>
      <c r="K126" t="s">
        <v>860</v>
      </c>
      <c r="L126" t="s">
        <v>860</v>
      </c>
      <c r="M126" t="s">
        <v>914</v>
      </c>
      <c r="N126" t="s">
        <v>914</v>
      </c>
      <c r="O126" t="s">
        <v>959</v>
      </c>
      <c r="P126" t="s">
        <v>959</v>
      </c>
      <c r="Q126" t="s">
        <v>964</v>
      </c>
      <c r="R126" t="s">
        <v>964</v>
      </c>
      <c r="S126" t="s">
        <v>965</v>
      </c>
      <c r="T126" t="str">
        <f t="shared" si="1"/>
        <v>OK</v>
      </c>
      <c r="U126" t="str">
        <f>IF(IF(MID(C126,5,1)="-", C126=D126, IF(OR(MID(C126,3,1)="/",MID(C126,3,1)="."), D126=MID(C126,7,4)&amp;"-"&amp;MID(C126,4,2)&amp;"-"&amp;LEFT(C126,2), D126=MID(C126,8,4)&amp;"-"&amp;TEXT(MATCH(MID(C126,4,3),{"Jan","Feb","Mar","Apr","May","Jun","Jul","Aug","Sep","Oct","Nov","Dec"},0),"00")&amp;"-"&amp;LEFT(C126,2))),"OK","CHECK")</f>
        <v>OK</v>
      </c>
    </row>
    <row r="127" spans="1:21" x14ac:dyDescent="0.35">
      <c r="A127" t="s">
        <v>144</v>
      </c>
      <c r="B127">
        <v>1</v>
      </c>
      <c r="C127" t="s">
        <v>336</v>
      </c>
      <c r="D127" t="s">
        <v>467</v>
      </c>
      <c r="E127" t="s">
        <v>512</v>
      </c>
      <c r="F127" t="s">
        <v>512</v>
      </c>
      <c r="G127" t="s">
        <v>611</v>
      </c>
      <c r="H127" t="s">
        <v>611</v>
      </c>
      <c r="I127" t="s">
        <v>802</v>
      </c>
      <c r="J127" t="s">
        <v>802</v>
      </c>
      <c r="K127" t="s">
        <v>860</v>
      </c>
      <c r="L127" t="s">
        <v>860</v>
      </c>
      <c r="M127" t="s">
        <v>933</v>
      </c>
      <c r="N127" t="s">
        <v>933</v>
      </c>
      <c r="O127" t="s">
        <v>959</v>
      </c>
      <c r="P127" t="s">
        <v>959</v>
      </c>
      <c r="Q127" t="s">
        <v>961</v>
      </c>
      <c r="R127" t="s">
        <v>961</v>
      </c>
      <c r="S127" t="s">
        <v>965</v>
      </c>
      <c r="T127" t="str">
        <f t="shared" si="1"/>
        <v>OK</v>
      </c>
      <c r="U127" t="str">
        <f>IF(IF(MID(C127,5,1)="-", C127=D127, IF(OR(MID(C127,3,1)="/",MID(C127,3,1)="."), D127=MID(C127,7,4)&amp;"-"&amp;MID(C127,4,2)&amp;"-"&amp;LEFT(C127,2), D127=MID(C127,8,4)&amp;"-"&amp;TEXT(MATCH(MID(C127,4,3),{"Jan","Feb","Mar","Apr","May","Jun","Jul","Aug","Sep","Oct","Nov","Dec"},0),"00")&amp;"-"&amp;LEFT(C127,2))),"OK","CHECK")</f>
        <v>OK</v>
      </c>
    </row>
    <row r="128" spans="1:21" x14ac:dyDescent="0.35">
      <c r="A128" t="s">
        <v>145</v>
      </c>
      <c r="B128">
        <v>2</v>
      </c>
      <c r="C128" t="s">
        <v>337</v>
      </c>
      <c r="D128" t="s">
        <v>337</v>
      </c>
      <c r="E128" t="s">
        <v>512</v>
      </c>
      <c r="F128" t="s">
        <v>512</v>
      </c>
      <c r="G128" t="s">
        <v>629</v>
      </c>
      <c r="H128" t="s">
        <v>629</v>
      </c>
      <c r="I128" t="s">
        <v>803</v>
      </c>
      <c r="J128" t="s">
        <v>803</v>
      </c>
      <c r="K128" t="s">
        <v>860</v>
      </c>
      <c r="L128" t="s">
        <v>860</v>
      </c>
      <c r="M128" t="s">
        <v>913</v>
      </c>
      <c r="N128" t="s">
        <v>913</v>
      </c>
      <c r="O128" t="s">
        <v>956</v>
      </c>
      <c r="P128" t="s">
        <v>956</v>
      </c>
      <c r="Q128" t="s">
        <v>961</v>
      </c>
      <c r="R128" t="s">
        <v>961</v>
      </c>
      <c r="S128" t="s">
        <v>965</v>
      </c>
      <c r="T128" t="str">
        <f t="shared" si="1"/>
        <v>OK</v>
      </c>
      <c r="U128" t="str">
        <f>IF(IF(MID(C128,5,1)="-", C128=D128, IF(OR(MID(C128,3,1)="/",MID(C128,3,1)="."), D128=MID(C128,7,4)&amp;"-"&amp;MID(C128,4,2)&amp;"-"&amp;LEFT(C128,2), D128=MID(C128,8,4)&amp;"-"&amp;TEXT(MATCH(MID(C128,4,3),{"Jan","Feb","Mar","Apr","May","Jun","Jul","Aug","Sep","Oct","Nov","Dec"},0),"00")&amp;"-"&amp;LEFT(C128,2))),"OK","CHECK")</f>
        <v>OK</v>
      </c>
    </row>
    <row r="129" spans="1:21" x14ac:dyDescent="0.35">
      <c r="A129" t="s">
        <v>146</v>
      </c>
      <c r="B129">
        <v>1</v>
      </c>
      <c r="C129" t="s">
        <v>338</v>
      </c>
      <c r="D129" t="s">
        <v>468</v>
      </c>
      <c r="E129" t="s">
        <v>511</v>
      </c>
      <c r="F129" t="s">
        <v>511</v>
      </c>
      <c r="G129" t="s">
        <v>630</v>
      </c>
      <c r="H129" t="s">
        <v>630</v>
      </c>
      <c r="I129" t="s">
        <v>804</v>
      </c>
      <c r="J129" t="s">
        <v>804</v>
      </c>
      <c r="K129" t="s">
        <v>859</v>
      </c>
      <c r="L129" t="s">
        <v>859</v>
      </c>
      <c r="M129" t="s">
        <v>907</v>
      </c>
      <c r="N129" t="s">
        <v>907</v>
      </c>
      <c r="O129" t="s">
        <v>956</v>
      </c>
      <c r="P129" t="s">
        <v>956</v>
      </c>
      <c r="Q129" t="s">
        <v>963</v>
      </c>
      <c r="R129" t="s">
        <v>963</v>
      </c>
      <c r="S129" t="s">
        <v>965</v>
      </c>
      <c r="T129" t="str">
        <f t="shared" si="1"/>
        <v>OK</v>
      </c>
      <c r="U129" t="str">
        <f>IF(IF(MID(C129,5,1)="-", C129=D129, IF(OR(MID(C129,3,1)="/",MID(C129,3,1)="."), D129=MID(C129,7,4)&amp;"-"&amp;MID(C129,4,2)&amp;"-"&amp;LEFT(C129,2), D129=MID(C129,8,4)&amp;"-"&amp;TEXT(MATCH(MID(C129,4,3),{"Jan","Feb","Mar","Apr","May","Jun","Jul","Aug","Sep","Oct","Nov","Dec"},0),"00")&amp;"-"&amp;LEFT(C129,2))),"OK","CHECK")</f>
        <v>OK</v>
      </c>
    </row>
    <row r="130" spans="1:21" x14ac:dyDescent="0.35">
      <c r="A130" t="s">
        <v>147</v>
      </c>
      <c r="B130">
        <v>1</v>
      </c>
      <c r="C130" t="s">
        <v>339</v>
      </c>
      <c r="D130" t="s">
        <v>469</v>
      </c>
      <c r="E130" t="s">
        <v>513</v>
      </c>
      <c r="F130" t="s">
        <v>513</v>
      </c>
      <c r="G130" t="s">
        <v>631</v>
      </c>
      <c r="H130" t="s">
        <v>631</v>
      </c>
      <c r="I130" t="s">
        <v>714</v>
      </c>
      <c r="J130" t="s">
        <v>714</v>
      </c>
      <c r="K130" t="s">
        <v>861</v>
      </c>
      <c r="L130" t="s">
        <v>861</v>
      </c>
      <c r="M130" t="s">
        <v>867</v>
      </c>
      <c r="N130" t="s">
        <v>867</v>
      </c>
      <c r="O130" t="s">
        <v>960</v>
      </c>
      <c r="P130" t="s">
        <v>960</v>
      </c>
      <c r="Q130" t="s">
        <v>961</v>
      </c>
      <c r="R130" t="s">
        <v>961</v>
      </c>
      <c r="S130" t="s">
        <v>965</v>
      </c>
      <c r="T130" t="str">
        <f t="shared" si="1"/>
        <v>OK</v>
      </c>
      <c r="U130" t="str">
        <f>IF(IF(MID(C130,5,1)="-", C130=D130, IF(OR(MID(C130,3,1)="/",MID(C130,3,1)="."), D130=MID(C130,7,4)&amp;"-"&amp;MID(C130,4,2)&amp;"-"&amp;LEFT(C130,2), D130=MID(C130,8,4)&amp;"-"&amp;TEXT(MATCH(MID(C130,4,3),{"Jan","Feb","Mar","Apr","May","Jun","Jul","Aug","Sep","Oct","Nov","Dec"},0),"00")&amp;"-"&amp;LEFT(C130,2))),"OK","CHECK")</f>
        <v>OK</v>
      </c>
    </row>
    <row r="131" spans="1:21" x14ac:dyDescent="0.35">
      <c r="A131" t="s">
        <v>148</v>
      </c>
      <c r="B131">
        <v>2</v>
      </c>
      <c r="C131" t="s">
        <v>340</v>
      </c>
      <c r="D131" t="s">
        <v>470</v>
      </c>
      <c r="E131" t="s">
        <v>509</v>
      </c>
      <c r="F131" t="s">
        <v>509</v>
      </c>
      <c r="G131" t="s">
        <v>632</v>
      </c>
      <c r="H131" t="s">
        <v>632</v>
      </c>
      <c r="I131" t="s">
        <v>792</v>
      </c>
      <c r="J131" t="s">
        <v>792</v>
      </c>
      <c r="K131" t="s">
        <v>857</v>
      </c>
      <c r="L131" t="s">
        <v>857</v>
      </c>
      <c r="M131" t="s">
        <v>927</v>
      </c>
      <c r="N131" t="s">
        <v>927</v>
      </c>
      <c r="O131" t="s">
        <v>957</v>
      </c>
      <c r="P131" t="s">
        <v>957</v>
      </c>
      <c r="Q131" t="s">
        <v>961</v>
      </c>
      <c r="R131" t="s">
        <v>961</v>
      </c>
      <c r="S131" t="s">
        <v>965</v>
      </c>
      <c r="T131" t="str">
        <f t="shared" ref="T131:T194" si="2">IF(AND(E131=F131, G131=H131, Q131=R131, IF(I131="", AND(J131="", S131="1"), AND(I131=J131, S131="0")), IF(K131="", L131&lt;&gt;"", K131=L131), IF(M131="", N131="Unknown", M131=N131), IF(O131="", P131="Unknown", O131=P131)), "OK", "CHECK")</f>
        <v>OK</v>
      </c>
      <c r="U131" t="str">
        <f>IF(IF(MID(C131,5,1)="-", C131=D131, IF(OR(MID(C131,3,1)="/",MID(C131,3,1)="."), D131=MID(C131,7,4)&amp;"-"&amp;MID(C131,4,2)&amp;"-"&amp;LEFT(C131,2), D131=MID(C131,8,4)&amp;"-"&amp;TEXT(MATCH(MID(C131,4,3),{"Jan","Feb","Mar","Apr","May","Jun","Jul","Aug","Sep","Oct","Nov","Dec"},0),"00")&amp;"-"&amp;LEFT(C131,2))),"OK","CHECK")</f>
        <v>OK</v>
      </c>
    </row>
    <row r="132" spans="1:21" x14ac:dyDescent="0.35">
      <c r="A132" t="s">
        <v>149</v>
      </c>
      <c r="B132">
        <v>1</v>
      </c>
      <c r="C132" t="s">
        <v>341</v>
      </c>
      <c r="D132" t="s">
        <v>471</v>
      </c>
      <c r="E132" t="s">
        <v>513</v>
      </c>
      <c r="F132" t="s">
        <v>513</v>
      </c>
      <c r="G132" t="s">
        <v>633</v>
      </c>
      <c r="H132" t="s">
        <v>633</v>
      </c>
      <c r="I132" t="s">
        <v>805</v>
      </c>
      <c r="J132" t="s">
        <v>805</v>
      </c>
      <c r="K132" t="s">
        <v>861</v>
      </c>
      <c r="L132" t="s">
        <v>861</v>
      </c>
      <c r="M132" t="s">
        <v>884</v>
      </c>
      <c r="N132" t="s">
        <v>884</v>
      </c>
      <c r="O132" t="s">
        <v>957</v>
      </c>
      <c r="P132" t="s">
        <v>957</v>
      </c>
      <c r="Q132" t="s">
        <v>962</v>
      </c>
      <c r="R132" t="s">
        <v>962</v>
      </c>
      <c r="S132" t="s">
        <v>965</v>
      </c>
      <c r="T132" t="str">
        <f t="shared" si="2"/>
        <v>OK</v>
      </c>
      <c r="U132" t="str">
        <f>IF(IF(MID(C132,5,1)="-", C132=D132, IF(OR(MID(C132,3,1)="/",MID(C132,3,1)="."), D132=MID(C132,7,4)&amp;"-"&amp;MID(C132,4,2)&amp;"-"&amp;LEFT(C132,2), D132=MID(C132,8,4)&amp;"-"&amp;TEXT(MATCH(MID(C132,4,3),{"Jan","Feb","Mar","Apr","May","Jun","Jul","Aug","Sep","Oct","Nov","Dec"},0),"00")&amp;"-"&amp;LEFT(C132,2))),"OK","CHECK")</f>
        <v>OK</v>
      </c>
    </row>
    <row r="133" spans="1:21" x14ac:dyDescent="0.35">
      <c r="A133" t="s">
        <v>150</v>
      </c>
      <c r="B133">
        <v>1</v>
      </c>
      <c r="C133" t="s">
        <v>342</v>
      </c>
      <c r="D133" t="s">
        <v>472</v>
      </c>
      <c r="E133" t="s">
        <v>510</v>
      </c>
      <c r="F133" t="s">
        <v>510</v>
      </c>
      <c r="G133" t="s">
        <v>634</v>
      </c>
      <c r="H133" t="s">
        <v>634</v>
      </c>
      <c r="I133" t="s">
        <v>806</v>
      </c>
      <c r="J133" t="s">
        <v>806</v>
      </c>
      <c r="K133" t="s">
        <v>858</v>
      </c>
      <c r="L133" t="s">
        <v>858</v>
      </c>
      <c r="M133" t="s">
        <v>868</v>
      </c>
      <c r="N133" t="s">
        <v>868</v>
      </c>
      <c r="O133" t="s">
        <v>959</v>
      </c>
      <c r="P133" t="s">
        <v>959</v>
      </c>
      <c r="Q133" t="s">
        <v>961</v>
      </c>
      <c r="R133" t="s">
        <v>961</v>
      </c>
      <c r="S133" t="s">
        <v>965</v>
      </c>
      <c r="T133" t="str">
        <f t="shared" si="2"/>
        <v>OK</v>
      </c>
      <c r="U133" t="str">
        <f>IF(IF(MID(C133,5,1)="-", C133=D133, IF(OR(MID(C133,3,1)="/",MID(C133,3,1)="."), D133=MID(C133,7,4)&amp;"-"&amp;MID(C133,4,2)&amp;"-"&amp;LEFT(C133,2), D133=MID(C133,8,4)&amp;"-"&amp;TEXT(MATCH(MID(C133,4,3),{"Jan","Feb","Mar","Apr","May","Jun","Jul","Aug","Sep","Oct","Nov","Dec"},0),"00")&amp;"-"&amp;LEFT(C133,2))),"OK","CHECK")</f>
        <v>OK</v>
      </c>
    </row>
    <row r="134" spans="1:21" x14ac:dyDescent="0.35">
      <c r="A134" t="s">
        <v>151</v>
      </c>
      <c r="B134">
        <v>1</v>
      </c>
      <c r="C134" t="s">
        <v>343</v>
      </c>
      <c r="D134" t="s">
        <v>343</v>
      </c>
      <c r="E134" t="s">
        <v>513</v>
      </c>
      <c r="F134" t="s">
        <v>513</v>
      </c>
      <c r="G134" t="s">
        <v>635</v>
      </c>
      <c r="H134" t="s">
        <v>635</v>
      </c>
      <c r="I134" t="s">
        <v>765</v>
      </c>
      <c r="J134" t="s">
        <v>765</v>
      </c>
      <c r="K134" t="s">
        <v>861</v>
      </c>
      <c r="L134" t="s">
        <v>861</v>
      </c>
      <c r="M134" t="s">
        <v>872</v>
      </c>
      <c r="N134" t="s">
        <v>872</v>
      </c>
      <c r="O134" t="s">
        <v>957</v>
      </c>
      <c r="P134" t="s">
        <v>957</v>
      </c>
      <c r="Q134" t="s">
        <v>963</v>
      </c>
      <c r="R134" t="s">
        <v>963</v>
      </c>
      <c r="S134" t="s">
        <v>965</v>
      </c>
      <c r="T134" t="str">
        <f t="shared" si="2"/>
        <v>OK</v>
      </c>
      <c r="U134" t="str">
        <f>IF(IF(MID(C134,5,1)="-", C134=D134, IF(OR(MID(C134,3,1)="/",MID(C134,3,1)="."), D134=MID(C134,7,4)&amp;"-"&amp;MID(C134,4,2)&amp;"-"&amp;LEFT(C134,2), D134=MID(C134,8,4)&amp;"-"&amp;TEXT(MATCH(MID(C134,4,3),{"Jan","Feb","Mar","Apr","May","Jun","Jul","Aug","Sep","Oct","Nov","Dec"},0),"00")&amp;"-"&amp;LEFT(C134,2))),"OK","CHECK")</f>
        <v>OK</v>
      </c>
    </row>
    <row r="135" spans="1:21" x14ac:dyDescent="0.35">
      <c r="A135" t="s">
        <v>152</v>
      </c>
      <c r="B135">
        <v>1</v>
      </c>
      <c r="C135" t="s">
        <v>344</v>
      </c>
      <c r="D135" t="s">
        <v>473</v>
      </c>
      <c r="E135" t="s">
        <v>511</v>
      </c>
      <c r="F135" t="s">
        <v>511</v>
      </c>
      <c r="G135" t="s">
        <v>636</v>
      </c>
      <c r="H135" t="s">
        <v>636</v>
      </c>
      <c r="I135" t="s">
        <v>807</v>
      </c>
      <c r="J135" t="s">
        <v>807</v>
      </c>
      <c r="K135" t="s">
        <v>859</v>
      </c>
      <c r="L135" t="s">
        <v>859</v>
      </c>
      <c r="M135" t="s">
        <v>934</v>
      </c>
      <c r="N135" t="s">
        <v>934</v>
      </c>
      <c r="O135" t="s">
        <v>959</v>
      </c>
      <c r="P135" t="s">
        <v>959</v>
      </c>
      <c r="Q135" t="s">
        <v>963</v>
      </c>
      <c r="R135" t="s">
        <v>963</v>
      </c>
      <c r="S135" t="s">
        <v>965</v>
      </c>
      <c r="T135" t="str">
        <f t="shared" si="2"/>
        <v>OK</v>
      </c>
      <c r="U135" t="str">
        <f>IF(IF(MID(C135,5,1)="-", C135=D135, IF(OR(MID(C135,3,1)="/",MID(C135,3,1)="."), D135=MID(C135,7,4)&amp;"-"&amp;MID(C135,4,2)&amp;"-"&amp;LEFT(C135,2), D135=MID(C135,8,4)&amp;"-"&amp;TEXT(MATCH(MID(C135,4,3),{"Jan","Feb","Mar","Apr","May","Jun","Jul","Aug","Sep","Oct","Nov","Dec"},0),"00")&amp;"-"&amp;LEFT(C135,2))),"OK","CHECK")</f>
        <v>OK</v>
      </c>
    </row>
    <row r="136" spans="1:21" x14ac:dyDescent="0.35">
      <c r="A136" t="s">
        <v>153</v>
      </c>
      <c r="B136">
        <v>2</v>
      </c>
      <c r="C136" t="s">
        <v>345</v>
      </c>
      <c r="D136" t="s">
        <v>474</v>
      </c>
      <c r="E136" t="s">
        <v>514</v>
      </c>
      <c r="F136" t="s">
        <v>514</v>
      </c>
      <c r="G136" t="s">
        <v>637</v>
      </c>
      <c r="H136" t="s">
        <v>637</v>
      </c>
      <c r="I136" t="s">
        <v>808</v>
      </c>
      <c r="J136" t="s">
        <v>808</v>
      </c>
      <c r="K136" t="s">
        <v>862</v>
      </c>
      <c r="L136" t="s">
        <v>862</v>
      </c>
      <c r="M136" t="s">
        <v>885</v>
      </c>
      <c r="N136" t="s">
        <v>885</v>
      </c>
      <c r="O136" t="s">
        <v>956</v>
      </c>
      <c r="P136" t="s">
        <v>956</v>
      </c>
      <c r="Q136" t="s">
        <v>961</v>
      </c>
      <c r="R136" t="s">
        <v>961</v>
      </c>
      <c r="S136" t="s">
        <v>965</v>
      </c>
      <c r="T136" t="str">
        <f t="shared" si="2"/>
        <v>OK</v>
      </c>
      <c r="U136" t="str">
        <f>IF(IF(MID(C136,5,1)="-", C136=D136, IF(OR(MID(C136,3,1)="/",MID(C136,3,1)="."), D136=MID(C136,7,4)&amp;"-"&amp;MID(C136,4,2)&amp;"-"&amp;LEFT(C136,2), D136=MID(C136,8,4)&amp;"-"&amp;TEXT(MATCH(MID(C136,4,3),{"Jan","Feb","Mar","Apr","May","Jun","Jul","Aug","Sep","Oct","Nov","Dec"},0),"00")&amp;"-"&amp;LEFT(C136,2))),"OK","CHECK")</f>
        <v>OK</v>
      </c>
    </row>
    <row r="137" spans="1:21" x14ac:dyDescent="0.35">
      <c r="A137" t="s">
        <v>154</v>
      </c>
      <c r="B137">
        <v>1</v>
      </c>
      <c r="C137" t="s">
        <v>346</v>
      </c>
      <c r="D137" t="s">
        <v>475</v>
      </c>
      <c r="E137" t="s">
        <v>511</v>
      </c>
      <c r="F137" t="s">
        <v>511</v>
      </c>
      <c r="G137" t="s">
        <v>638</v>
      </c>
      <c r="H137" t="s">
        <v>638</v>
      </c>
      <c r="I137" t="s">
        <v>809</v>
      </c>
      <c r="J137" t="s">
        <v>809</v>
      </c>
      <c r="K137" t="s">
        <v>859</v>
      </c>
      <c r="L137" t="s">
        <v>859</v>
      </c>
      <c r="M137" t="s">
        <v>924</v>
      </c>
      <c r="N137" t="s">
        <v>924</v>
      </c>
      <c r="O137" t="s">
        <v>956</v>
      </c>
      <c r="P137" t="s">
        <v>956</v>
      </c>
      <c r="Q137" t="s">
        <v>961</v>
      </c>
      <c r="R137" t="s">
        <v>961</v>
      </c>
      <c r="S137" t="s">
        <v>965</v>
      </c>
      <c r="T137" t="str">
        <f t="shared" si="2"/>
        <v>OK</v>
      </c>
      <c r="U137" t="str">
        <f>IF(IF(MID(C137,5,1)="-", C137=D137, IF(OR(MID(C137,3,1)="/",MID(C137,3,1)="."), D137=MID(C137,7,4)&amp;"-"&amp;MID(C137,4,2)&amp;"-"&amp;LEFT(C137,2), D137=MID(C137,8,4)&amp;"-"&amp;TEXT(MATCH(MID(C137,4,3),{"Jan","Feb","Mar","Apr","May","Jun","Jul","Aug","Sep","Oct","Nov","Dec"},0),"00")&amp;"-"&amp;LEFT(C137,2))),"OK","CHECK")</f>
        <v>OK</v>
      </c>
    </row>
    <row r="138" spans="1:21" x14ac:dyDescent="0.35">
      <c r="A138" t="s">
        <v>155</v>
      </c>
      <c r="B138">
        <v>2</v>
      </c>
      <c r="C138" t="s">
        <v>347</v>
      </c>
      <c r="D138" t="s">
        <v>476</v>
      </c>
      <c r="E138" t="s">
        <v>509</v>
      </c>
      <c r="F138" t="s">
        <v>509</v>
      </c>
      <c r="G138" t="s">
        <v>639</v>
      </c>
      <c r="H138" t="s">
        <v>639</v>
      </c>
      <c r="I138" t="s">
        <v>810</v>
      </c>
      <c r="J138" t="s">
        <v>810</v>
      </c>
      <c r="K138" t="s">
        <v>857</v>
      </c>
      <c r="L138" t="s">
        <v>857</v>
      </c>
      <c r="M138" t="s">
        <v>866</v>
      </c>
      <c r="N138" t="s">
        <v>866</v>
      </c>
      <c r="O138" t="s">
        <v>958</v>
      </c>
      <c r="P138" t="s">
        <v>958</v>
      </c>
      <c r="Q138" t="s">
        <v>963</v>
      </c>
      <c r="R138" t="s">
        <v>963</v>
      </c>
      <c r="S138" t="s">
        <v>965</v>
      </c>
      <c r="T138" t="str">
        <f t="shared" si="2"/>
        <v>OK</v>
      </c>
      <c r="U138" t="str">
        <f>IF(IF(MID(C138,5,1)="-", C138=D138, IF(OR(MID(C138,3,1)="/",MID(C138,3,1)="."), D138=MID(C138,7,4)&amp;"-"&amp;MID(C138,4,2)&amp;"-"&amp;LEFT(C138,2), D138=MID(C138,8,4)&amp;"-"&amp;TEXT(MATCH(MID(C138,4,3),{"Jan","Feb","Mar","Apr","May","Jun","Jul","Aug","Sep","Oct","Nov","Dec"},0),"00")&amp;"-"&amp;LEFT(C138,2))),"OK","CHECK")</f>
        <v>OK</v>
      </c>
    </row>
    <row r="139" spans="1:21" x14ac:dyDescent="0.35">
      <c r="A139" t="s">
        <v>156</v>
      </c>
      <c r="B139">
        <v>1</v>
      </c>
      <c r="C139" t="s">
        <v>348</v>
      </c>
      <c r="D139" t="s">
        <v>407</v>
      </c>
      <c r="E139" t="s">
        <v>510</v>
      </c>
      <c r="F139" t="s">
        <v>510</v>
      </c>
      <c r="G139" t="s">
        <v>596</v>
      </c>
      <c r="H139" t="s">
        <v>596</v>
      </c>
      <c r="I139" t="s">
        <v>811</v>
      </c>
      <c r="J139" t="s">
        <v>811</v>
      </c>
      <c r="K139" t="s">
        <v>858</v>
      </c>
      <c r="L139" t="s">
        <v>858</v>
      </c>
      <c r="M139" t="s">
        <v>925</v>
      </c>
      <c r="N139" t="s">
        <v>925</v>
      </c>
      <c r="O139" t="s">
        <v>958</v>
      </c>
      <c r="P139" t="s">
        <v>958</v>
      </c>
      <c r="Q139" t="s">
        <v>964</v>
      </c>
      <c r="R139" t="s">
        <v>964</v>
      </c>
      <c r="S139" t="s">
        <v>965</v>
      </c>
      <c r="T139" t="str">
        <f t="shared" si="2"/>
        <v>OK</v>
      </c>
      <c r="U139" t="str">
        <f>IF(IF(MID(C139,5,1)="-", C139=D139, IF(OR(MID(C139,3,1)="/",MID(C139,3,1)="."), D139=MID(C139,7,4)&amp;"-"&amp;MID(C139,4,2)&amp;"-"&amp;LEFT(C139,2), D139=MID(C139,8,4)&amp;"-"&amp;TEXT(MATCH(MID(C139,4,3),{"Jan","Feb","Mar","Apr","May","Jun","Jul","Aug","Sep","Oct","Nov","Dec"},0),"00")&amp;"-"&amp;LEFT(C139,2))),"OK","CHECK")</f>
        <v>OK</v>
      </c>
    </row>
    <row r="140" spans="1:21" x14ac:dyDescent="0.35">
      <c r="A140" t="s">
        <v>157</v>
      </c>
      <c r="B140">
        <v>1</v>
      </c>
      <c r="C140" t="s">
        <v>349</v>
      </c>
      <c r="D140" t="s">
        <v>477</v>
      </c>
      <c r="E140" t="s">
        <v>511</v>
      </c>
      <c r="F140" t="s">
        <v>511</v>
      </c>
      <c r="G140" t="s">
        <v>606</v>
      </c>
      <c r="H140" t="s">
        <v>606</v>
      </c>
      <c r="I140" t="s">
        <v>812</v>
      </c>
      <c r="J140" t="s">
        <v>812</v>
      </c>
      <c r="K140" t="s">
        <v>859</v>
      </c>
      <c r="L140" t="s">
        <v>859</v>
      </c>
      <c r="M140" t="s">
        <v>935</v>
      </c>
      <c r="N140" t="s">
        <v>935</v>
      </c>
      <c r="O140" t="s">
        <v>957</v>
      </c>
      <c r="P140" t="s">
        <v>957</v>
      </c>
      <c r="Q140" t="s">
        <v>963</v>
      </c>
      <c r="R140" t="s">
        <v>963</v>
      </c>
      <c r="S140" t="s">
        <v>965</v>
      </c>
      <c r="T140" t="str">
        <f t="shared" si="2"/>
        <v>OK</v>
      </c>
      <c r="U140" t="str">
        <f>IF(IF(MID(C140,5,1)="-", C140=D140, IF(OR(MID(C140,3,1)="/",MID(C140,3,1)="."), D140=MID(C140,7,4)&amp;"-"&amp;MID(C140,4,2)&amp;"-"&amp;LEFT(C140,2), D140=MID(C140,8,4)&amp;"-"&amp;TEXT(MATCH(MID(C140,4,3),{"Jan","Feb","Mar","Apr","May","Jun","Jul","Aug","Sep","Oct","Nov","Dec"},0),"00")&amp;"-"&amp;LEFT(C140,2))),"OK","CHECK")</f>
        <v>OK</v>
      </c>
    </row>
    <row r="141" spans="1:21" x14ac:dyDescent="0.35">
      <c r="A141" t="s">
        <v>158</v>
      </c>
      <c r="B141">
        <v>1</v>
      </c>
      <c r="C141" t="s">
        <v>350</v>
      </c>
      <c r="D141" t="s">
        <v>350</v>
      </c>
      <c r="E141" t="s">
        <v>513</v>
      </c>
      <c r="F141" t="s">
        <v>513</v>
      </c>
      <c r="G141" t="s">
        <v>640</v>
      </c>
      <c r="H141" t="s">
        <v>640</v>
      </c>
      <c r="I141" t="s">
        <v>813</v>
      </c>
      <c r="J141" t="s">
        <v>813</v>
      </c>
      <c r="K141" t="s">
        <v>861</v>
      </c>
      <c r="L141" t="s">
        <v>861</v>
      </c>
      <c r="M141" t="s">
        <v>931</v>
      </c>
      <c r="N141" t="s">
        <v>931</v>
      </c>
      <c r="O141" t="s">
        <v>956</v>
      </c>
      <c r="P141" t="s">
        <v>956</v>
      </c>
      <c r="Q141" t="s">
        <v>963</v>
      </c>
      <c r="R141" t="s">
        <v>963</v>
      </c>
      <c r="S141" t="s">
        <v>965</v>
      </c>
      <c r="T141" t="str">
        <f t="shared" si="2"/>
        <v>OK</v>
      </c>
      <c r="U141" t="str">
        <f>IF(IF(MID(C141,5,1)="-", C141=D141, IF(OR(MID(C141,3,1)="/",MID(C141,3,1)="."), D141=MID(C141,7,4)&amp;"-"&amp;MID(C141,4,2)&amp;"-"&amp;LEFT(C141,2), D141=MID(C141,8,4)&amp;"-"&amp;TEXT(MATCH(MID(C141,4,3),{"Jan","Feb","Mar","Apr","May","Jun","Jul","Aug","Sep","Oct","Nov","Dec"},0),"00")&amp;"-"&amp;LEFT(C141,2))),"OK","CHECK")</f>
        <v>OK</v>
      </c>
    </row>
    <row r="142" spans="1:21" x14ac:dyDescent="0.35">
      <c r="A142" t="s">
        <v>159</v>
      </c>
      <c r="B142">
        <v>1</v>
      </c>
      <c r="C142" t="s">
        <v>351</v>
      </c>
      <c r="D142" t="s">
        <v>478</v>
      </c>
      <c r="E142" t="s">
        <v>514</v>
      </c>
      <c r="F142" t="s">
        <v>514</v>
      </c>
      <c r="G142" t="s">
        <v>641</v>
      </c>
      <c r="H142" t="s">
        <v>641</v>
      </c>
      <c r="I142" t="s">
        <v>777</v>
      </c>
      <c r="J142" t="s">
        <v>777</v>
      </c>
      <c r="K142" t="s">
        <v>862</v>
      </c>
      <c r="L142" t="s">
        <v>862</v>
      </c>
      <c r="M142" t="s">
        <v>882</v>
      </c>
      <c r="N142" t="s">
        <v>882</v>
      </c>
      <c r="O142" t="s">
        <v>959</v>
      </c>
      <c r="P142" t="s">
        <v>959</v>
      </c>
      <c r="Q142" t="s">
        <v>962</v>
      </c>
      <c r="R142" t="s">
        <v>962</v>
      </c>
      <c r="S142" t="s">
        <v>965</v>
      </c>
      <c r="T142" t="str">
        <f t="shared" si="2"/>
        <v>OK</v>
      </c>
      <c r="U142" t="str">
        <f>IF(IF(MID(C142,5,1)="-", C142=D142, IF(OR(MID(C142,3,1)="/",MID(C142,3,1)="."), D142=MID(C142,7,4)&amp;"-"&amp;MID(C142,4,2)&amp;"-"&amp;LEFT(C142,2), D142=MID(C142,8,4)&amp;"-"&amp;TEXT(MATCH(MID(C142,4,3),{"Jan","Feb","Mar","Apr","May","Jun","Jul","Aug","Sep","Oct","Nov","Dec"},0),"00")&amp;"-"&amp;LEFT(C142,2))),"OK","CHECK")</f>
        <v>OK</v>
      </c>
    </row>
    <row r="143" spans="1:21" x14ac:dyDescent="0.35">
      <c r="A143" t="s">
        <v>160</v>
      </c>
      <c r="B143">
        <v>1</v>
      </c>
      <c r="C143" t="s">
        <v>352</v>
      </c>
      <c r="D143" t="s">
        <v>352</v>
      </c>
      <c r="E143" t="s">
        <v>514</v>
      </c>
      <c r="F143" t="s">
        <v>514</v>
      </c>
      <c r="G143" t="s">
        <v>642</v>
      </c>
      <c r="H143" t="s">
        <v>642</v>
      </c>
      <c r="I143" t="s">
        <v>814</v>
      </c>
      <c r="J143" t="s">
        <v>814</v>
      </c>
      <c r="K143" t="s">
        <v>862</v>
      </c>
      <c r="L143" t="s">
        <v>862</v>
      </c>
      <c r="M143" t="s">
        <v>936</v>
      </c>
      <c r="N143" t="s">
        <v>936</v>
      </c>
      <c r="O143" t="s">
        <v>957</v>
      </c>
      <c r="P143" t="s">
        <v>957</v>
      </c>
      <c r="Q143" t="s">
        <v>963</v>
      </c>
      <c r="R143" t="s">
        <v>963</v>
      </c>
      <c r="S143" t="s">
        <v>965</v>
      </c>
      <c r="T143" t="str">
        <f t="shared" si="2"/>
        <v>OK</v>
      </c>
      <c r="U143" t="str">
        <f>IF(IF(MID(C143,5,1)="-", C143=D143, IF(OR(MID(C143,3,1)="/",MID(C143,3,1)="."), D143=MID(C143,7,4)&amp;"-"&amp;MID(C143,4,2)&amp;"-"&amp;LEFT(C143,2), D143=MID(C143,8,4)&amp;"-"&amp;TEXT(MATCH(MID(C143,4,3),{"Jan","Feb","Mar","Apr","May","Jun","Jul","Aug","Sep","Oct","Nov","Dec"},0),"00")&amp;"-"&amp;LEFT(C143,2))),"OK","CHECK")</f>
        <v>OK</v>
      </c>
    </row>
    <row r="144" spans="1:21" x14ac:dyDescent="0.35">
      <c r="A144" t="s">
        <v>161</v>
      </c>
      <c r="B144">
        <v>1</v>
      </c>
      <c r="C144" t="s">
        <v>353</v>
      </c>
      <c r="D144" t="s">
        <v>479</v>
      </c>
      <c r="E144" t="s">
        <v>510</v>
      </c>
      <c r="F144" t="s">
        <v>510</v>
      </c>
      <c r="G144" t="s">
        <v>643</v>
      </c>
      <c r="H144" t="s">
        <v>643</v>
      </c>
      <c r="I144" t="s">
        <v>815</v>
      </c>
      <c r="J144" t="s">
        <v>815</v>
      </c>
      <c r="K144" t="s">
        <v>858</v>
      </c>
      <c r="L144" t="s">
        <v>858</v>
      </c>
      <c r="M144" t="s">
        <v>935</v>
      </c>
      <c r="N144" t="s">
        <v>935</v>
      </c>
      <c r="O144" t="s">
        <v>958</v>
      </c>
      <c r="P144" t="s">
        <v>958</v>
      </c>
      <c r="Q144" t="s">
        <v>963</v>
      </c>
      <c r="R144" t="s">
        <v>963</v>
      </c>
      <c r="S144" t="s">
        <v>965</v>
      </c>
      <c r="T144" t="str">
        <f t="shared" si="2"/>
        <v>OK</v>
      </c>
      <c r="U144" t="str">
        <f>IF(IF(MID(C144,5,1)="-", C144=D144, IF(OR(MID(C144,3,1)="/",MID(C144,3,1)="."), D144=MID(C144,7,4)&amp;"-"&amp;MID(C144,4,2)&amp;"-"&amp;LEFT(C144,2), D144=MID(C144,8,4)&amp;"-"&amp;TEXT(MATCH(MID(C144,4,3),{"Jan","Feb","Mar","Apr","May","Jun","Jul","Aug","Sep","Oct","Nov","Dec"},0),"00")&amp;"-"&amp;LEFT(C144,2))),"OK","CHECK")</f>
        <v>OK</v>
      </c>
    </row>
    <row r="145" spans="1:21" x14ac:dyDescent="0.35">
      <c r="A145" t="s">
        <v>162</v>
      </c>
      <c r="B145">
        <v>2</v>
      </c>
      <c r="C145" t="s">
        <v>333</v>
      </c>
      <c r="D145" t="s">
        <v>333</v>
      </c>
      <c r="E145" t="s">
        <v>514</v>
      </c>
      <c r="F145" t="s">
        <v>514</v>
      </c>
      <c r="G145" t="s">
        <v>644</v>
      </c>
      <c r="H145" t="s">
        <v>644</v>
      </c>
      <c r="I145" t="s">
        <v>816</v>
      </c>
      <c r="J145" t="s">
        <v>816</v>
      </c>
      <c r="K145" t="s">
        <v>862</v>
      </c>
      <c r="L145" t="s">
        <v>862</v>
      </c>
      <c r="M145" t="s">
        <v>937</v>
      </c>
      <c r="N145" t="s">
        <v>937</v>
      </c>
      <c r="O145" t="s">
        <v>960</v>
      </c>
      <c r="P145" t="s">
        <v>960</v>
      </c>
      <c r="Q145" t="s">
        <v>964</v>
      </c>
      <c r="R145" t="s">
        <v>964</v>
      </c>
      <c r="S145" t="s">
        <v>965</v>
      </c>
      <c r="T145" t="str">
        <f t="shared" si="2"/>
        <v>OK</v>
      </c>
      <c r="U145" t="str">
        <f>IF(IF(MID(C145,5,1)="-", C145=D145, IF(OR(MID(C145,3,1)="/",MID(C145,3,1)="."), D145=MID(C145,7,4)&amp;"-"&amp;MID(C145,4,2)&amp;"-"&amp;LEFT(C145,2), D145=MID(C145,8,4)&amp;"-"&amp;TEXT(MATCH(MID(C145,4,3),{"Jan","Feb","Mar","Apr","May","Jun","Jul","Aug","Sep","Oct","Nov","Dec"},0),"00")&amp;"-"&amp;LEFT(C145,2))),"OK","CHECK")</f>
        <v>OK</v>
      </c>
    </row>
    <row r="146" spans="1:21" x14ac:dyDescent="0.35">
      <c r="A146" t="s">
        <v>163</v>
      </c>
      <c r="B146">
        <v>1</v>
      </c>
      <c r="C146" t="s">
        <v>354</v>
      </c>
      <c r="D146" t="s">
        <v>480</v>
      </c>
      <c r="E146" t="s">
        <v>511</v>
      </c>
      <c r="F146" t="s">
        <v>511</v>
      </c>
      <c r="G146" t="s">
        <v>645</v>
      </c>
      <c r="H146" t="s">
        <v>645</v>
      </c>
      <c r="I146" t="s">
        <v>701</v>
      </c>
      <c r="J146" t="s">
        <v>701</v>
      </c>
      <c r="K146" t="s">
        <v>859</v>
      </c>
      <c r="L146" t="s">
        <v>859</v>
      </c>
      <c r="M146" t="s">
        <v>938</v>
      </c>
      <c r="N146" t="s">
        <v>938</v>
      </c>
      <c r="O146" t="s">
        <v>957</v>
      </c>
      <c r="P146" t="s">
        <v>957</v>
      </c>
      <c r="Q146" t="s">
        <v>963</v>
      </c>
      <c r="R146" t="s">
        <v>963</v>
      </c>
      <c r="S146" t="s">
        <v>965</v>
      </c>
      <c r="T146" t="str">
        <f t="shared" si="2"/>
        <v>OK</v>
      </c>
      <c r="U146" t="str">
        <f>IF(IF(MID(C146,5,1)="-", C146=D146, IF(OR(MID(C146,3,1)="/",MID(C146,3,1)="."), D146=MID(C146,7,4)&amp;"-"&amp;MID(C146,4,2)&amp;"-"&amp;LEFT(C146,2), D146=MID(C146,8,4)&amp;"-"&amp;TEXT(MATCH(MID(C146,4,3),{"Jan","Feb","Mar","Apr","May","Jun","Jul","Aug","Sep","Oct","Nov","Dec"},0),"00")&amp;"-"&amp;LEFT(C146,2))),"OK","CHECK")</f>
        <v>OK</v>
      </c>
    </row>
    <row r="147" spans="1:21" x14ac:dyDescent="0.35">
      <c r="A147" t="s">
        <v>164</v>
      </c>
      <c r="B147">
        <v>2</v>
      </c>
      <c r="C147" t="s">
        <v>355</v>
      </c>
      <c r="D147" t="s">
        <v>481</v>
      </c>
      <c r="E147" t="s">
        <v>513</v>
      </c>
      <c r="F147" t="s">
        <v>513</v>
      </c>
      <c r="G147" t="s">
        <v>646</v>
      </c>
      <c r="H147" t="s">
        <v>646</v>
      </c>
      <c r="I147" t="s">
        <v>738</v>
      </c>
      <c r="J147" t="s">
        <v>738</v>
      </c>
      <c r="K147" t="s">
        <v>861</v>
      </c>
      <c r="L147" t="s">
        <v>861</v>
      </c>
      <c r="M147" t="s">
        <v>939</v>
      </c>
      <c r="N147" t="s">
        <v>939</v>
      </c>
      <c r="O147" t="s">
        <v>960</v>
      </c>
      <c r="P147" t="s">
        <v>960</v>
      </c>
      <c r="Q147" t="s">
        <v>963</v>
      </c>
      <c r="R147" t="s">
        <v>963</v>
      </c>
      <c r="S147" t="s">
        <v>965</v>
      </c>
      <c r="T147" t="str">
        <f t="shared" si="2"/>
        <v>OK</v>
      </c>
      <c r="U147" t="str">
        <f>IF(IF(MID(C147,5,1)="-", C147=D147, IF(OR(MID(C147,3,1)="/",MID(C147,3,1)="."), D147=MID(C147,7,4)&amp;"-"&amp;MID(C147,4,2)&amp;"-"&amp;LEFT(C147,2), D147=MID(C147,8,4)&amp;"-"&amp;TEXT(MATCH(MID(C147,4,3),{"Jan","Feb","Mar","Apr","May","Jun","Jul","Aug","Sep","Oct","Nov","Dec"},0),"00")&amp;"-"&amp;LEFT(C147,2))),"OK","CHECK")</f>
        <v>OK</v>
      </c>
    </row>
    <row r="148" spans="1:21" x14ac:dyDescent="0.35">
      <c r="A148" t="s">
        <v>165</v>
      </c>
      <c r="B148">
        <v>1</v>
      </c>
      <c r="C148" t="s">
        <v>356</v>
      </c>
      <c r="D148" t="s">
        <v>482</v>
      </c>
      <c r="E148" t="s">
        <v>514</v>
      </c>
      <c r="F148" t="s">
        <v>514</v>
      </c>
      <c r="G148" t="s">
        <v>647</v>
      </c>
      <c r="H148" t="s">
        <v>647</v>
      </c>
      <c r="I148" t="s">
        <v>817</v>
      </c>
      <c r="J148" t="s">
        <v>817</v>
      </c>
      <c r="K148" t="s">
        <v>862</v>
      </c>
      <c r="L148" t="s">
        <v>862</v>
      </c>
      <c r="M148" t="s">
        <v>940</v>
      </c>
      <c r="N148" t="s">
        <v>940</v>
      </c>
      <c r="O148" t="s">
        <v>960</v>
      </c>
      <c r="P148" t="s">
        <v>960</v>
      </c>
      <c r="Q148" t="s">
        <v>963</v>
      </c>
      <c r="R148" t="s">
        <v>963</v>
      </c>
      <c r="S148" t="s">
        <v>965</v>
      </c>
      <c r="T148" t="str">
        <f t="shared" si="2"/>
        <v>OK</v>
      </c>
      <c r="U148" t="str">
        <f>IF(IF(MID(C148,5,1)="-", C148=D148, IF(OR(MID(C148,3,1)="/",MID(C148,3,1)="."), D148=MID(C148,7,4)&amp;"-"&amp;MID(C148,4,2)&amp;"-"&amp;LEFT(C148,2), D148=MID(C148,8,4)&amp;"-"&amp;TEXT(MATCH(MID(C148,4,3),{"Jan","Feb","Mar","Apr","May","Jun","Jul","Aug","Sep","Oct","Nov","Dec"},0),"00")&amp;"-"&amp;LEFT(C148,2))),"OK","CHECK")</f>
        <v>OK</v>
      </c>
    </row>
    <row r="149" spans="1:21" x14ac:dyDescent="0.35">
      <c r="A149" t="s">
        <v>166</v>
      </c>
      <c r="B149">
        <v>1</v>
      </c>
      <c r="C149" t="s">
        <v>357</v>
      </c>
      <c r="D149" t="s">
        <v>483</v>
      </c>
      <c r="E149" t="s">
        <v>511</v>
      </c>
      <c r="F149" t="s">
        <v>511</v>
      </c>
      <c r="G149" t="s">
        <v>648</v>
      </c>
      <c r="H149" t="s">
        <v>648</v>
      </c>
      <c r="I149" t="s">
        <v>818</v>
      </c>
      <c r="J149" t="s">
        <v>818</v>
      </c>
      <c r="K149" t="s">
        <v>859</v>
      </c>
      <c r="L149" t="s">
        <v>859</v>
      </c>
      <c r="M149" t="s">
        <v>914</v>
      </c>
      <c r="N149" t="s">
        <v>914</v>
      </c>
      <c r="O149" t="s">
        <v>958</v>
      </c>
      <c r="P149" t="s">
        <v>958</v>
      </c>
      <c r="Q149" t="s">
        <v>964</v>
      </c>
      <c r="R149" t="s">
        <v>964</v>
      </c>
      <c r="S149" t="s">
        <v>965</v>
      </c>
      <c r="T149" t="str">
        <f t="shared" si="2"/>
        <v>OK</v>
      </c>
      <c r="U149" t="str">
        <f>IF(IF(MID(C149,5,1)="-", C149=D149, IF(OR(MID(C149,3,1)="/",MID(C149,3,1)="."), D149=MID(C149,7,4)&amp;"-"&amp;MID(C149,4,2)&amp;"-"&amp;LEFT(C149,2), D149=MID(C149,8,4)&amp;"-"&amp;TEXT(MATCH(MID(C149,4,3),{"Jan","Feb","Mar","Apr","May","Jun","Jul","Aug","Sep","Oct","Nov","Dec"},0),"00")&amp;"-"&amp;LEFT(C149,2))),"OK","CHECK")</f>
        <v>OK</v>
      </c>
    </row>
    <row r="150" spans="1:21" x14ac:dyDescent="0.35">
      <c r="A150" t="s">
        <v>167</v>
      </c>
      <c r="B150">
        <v>1</v>
      </c>
      <c r="C150" t="s">
        <v>358</v>
      </c>
      <c r="D150" t="s">
        <v>484</v>
      </c>
      <c r="E150" t="s">
        <v>513</v>
      </c>
      <c r="F150" t="s">
        <v>513</v>
      </c>
      <c r="G150" t="s">
        <v>649</v>
      </c>
      <c r="H150" t="s">
        <v>649</v>
      </c>
      <c r="I150" t="s">
        <v>819</v>
      </c>
      <c r="J150" t="s">
        <v>819</v>
      </c>
      <c r="K150" t="s">
        <v>861</v>
      </c>
      <c r="L150" t="s">
        <v>861</v>
      </c>
      <c r="M150" t="s">
        <v>941</v>
      </c>
      <c r="N150" t="s">
        <v>941</v>
      </c>
      <c r="O150" t="s">
        <v>959</v>
      </c>
      <c r="P150" t="s">
        <v>959</v>
      </c>
      <c r="Q150" t="s">
        <v>964</v>
      </c>
      <c r="R150" t="s">
        <v>964</v>
      </c>
      <c r="S150" t="s">
        <v>965</v>
      </c>
      <c r="T150" t="str">
        <f t="shared" si="2"/>
        <v>OK</v>
      </c>
      <c r="U150" t="str">
        <f>IF(IF(MID(C150,5,1)="-", C150=D150, IF(OR(MID(C150,3,1)="/",MID(C150,3,1)="."), D150=MID(C150,7,4)&amp;"-"&amp;MID(C150,4,2)&amp;"-"&amp;LEFT(C150,2), D150=MID(C150,8,4)&amp;"-"&amp;TEXT(MATCH(MID(C150,4,3),{"Jan","Feb","Mar","Apr","May","Jun","Jul","Aug","Sep","Oct","Nov","Dec"},0),"00")&amp;"-"&amp;LEFT(C150,2))),"OK","CHECK")</f>
        <v>OK</v>
      </c>
    </row>
    <row r="151" spans="1:21" x14ac:dyDescent="0.35">
      <c r="A151" t="s">
        <v>168</v>
      </c>
      <c r="B151">
        <v>2</v>
      </c>
      <c r="C151" t="s">
        <v>359</v>
      </c>
      <c r="D151" t="s">
        <v>457</v>
      </c>
      <c r="E151" t="s">
        <v>509</v>
      </c>
      <c r="F151" t="s">
        <v>509</v>
      </c>
      <c r="G151" t="s">
        <v>650</v>
      </c>
      <c r="H151" t="s">
        <v>650</v>
      </c>
      <c r="I151" t="s">
        <v>820</v>
      </c>
      <c r="J151" t="s">
        <v>820</v>
      </c>
      <c r="K151" t="s">
        <v>857</v>
      </c>
      <c r="L151" t="s">
        <v>857</v>
      </c>
      <c r="M151" t="s">
        <v>942</v>
      </c>
      <c r="N151" t="s">
        <v>942</v>
      </c>
      <c r="O151" t="s">
        <v>956</v>
      </c>
      <c r="P151" t="s">
        <v>956</v>
      </c>
      <c r="Q151" t="s">
        <v>963</v>
      </c>
      <c r="R151" t="s">
        <v>963</v>
      </c>
      <c r="S151" t="s">
        <v>965</v>
      </c>
      <c r="T151" t="str">
        <f t="shared" si="2"/>
        <v>OK</v>
      </c>
      <c r="U151" t="str">
        <f>IF(IF(MID(C151,5,1)="-", C151=D151, IF(OR(MID(C151,3,1)="/",MID(C151,3,1)="."), D151=MID(C151,7,4)&amp;"-"&amp;MID(C151,4,2)&amp;"-"&amp;LEFT(C151,2), D151=MID(C151,8,4)&amp;"-"&amp;TEXT(MATCH(MID(C151,4,3),{"Jan","Feb","Mar","Apr","May","Jun","Jul","Aug","Sep","Oct","Nov","Dec"},0),"00")&amp;"-"&amp;LEFT(C151,2))),"OK","CHECK")</f>
        <v>OK</v>
      </c>
    </row>
    <row r="152" spans="1:21" x14ac:dyDescent="0.35">
      <c r="A152" t="s">
        <v>169</v>
      </c>
      <c r="B152">
        <v>1</v>
      </c>
      <c r="C152" t="s">
        <v>360</v>
      </c>
      <c r="D152" t="s">
        <v>485</v>
      </c>
      <c r="E152" t="s">
        <v>510</v>
      </c>
      <c r="F152" t="s">
        <v>510</v>
      </c>
      <c r="G152" t="s">
        <v>651</v>
      </c>
      <c r="H152" t="s">
        <v>651</v>
      </c>
      <c r="I152" t="s">
        <v>821</v>
      </c>
      <c r="J152" t="s">
        <v>821</v>
      </c>
      <c r="K152" t="s">
        <v>858</v>
      </c>
      <c r="L152" t="s">
        <v>858</v>
      </c>
      <c r="M152" t="s">
        <v>879</v>
      </c>
      <c r="N152" t="s">
        <v>879</v>
      </c>
      <c r="O152" t="s">
        <v>956</v>
      </c>
      <c r="P152" t="s">
        <v>956</v>
      </c>
      <c r="Q152" t="s">
        <v>963</v>
      </c>
      <c r="R152" t="s">
        <v>963</v>
      </c>
      <c r="S152" t="s">
        <v>965</v>
      </c>
      <c r="T152" t="str">
        <f t="shared" si="2"/>
        <v>OK</v>
      </c>
      <c r="U152" t="str">
        <f>IF(IF(MID(C152,5,1)="-", C152=D152, IF(OR(MID(C152,3,1)="/",MID(C152,3,1)="."), D152=MID(C152,7,4)&amp;"-"&amp;MID(C152,4,2)&amp;"-"&amp;LEFT(C152,2), D152=MID(C152,8,4)&amp;"-"&amp;TEXT(MATCH(MID(C152,4,3),{"Jan","Feb","Mar","Apr","May","Jun","Jul","Aug","Sep","Oct","Nov","Dec"},0),"00")&amp;"-"&amp;LEFT(C152,2))),"OK","CHECK")</f>
        <v>OK</v>
      </c>
    </row>
    <row r="153" spans="1:21" x14ac:dyDescent="0.35">
      <c r="A153" t="s">
        <v>170</v>
      </c>
      <c r="B153">
        <v>1</v>
      </c>
      <c r="C153" t="s">
        <v>361</v>
      </c>
      <c r="D153" t="s">
        <v>486</v>
      </c>
      <c r="E153" t="s">
        <v>514</v>
      </c>
      <c r="F153" t="s">
        <v>514</v>
      </c>
      <c r="G153" t="s">
        <v>652</v>
      </c>
      <c r="H153" t="s">
        <v>652</v>
      </c>
      <c r="I153" t="s">
        <v>821</v>
      </c>
      <c r="J153" t="s">
        <v>821</v>
      </c>
      <c r="K153" t="s">
        <v>862</v>
      </c>
      <c r="L153" t="s">
        <v>862</v>
      </c>
      <c r="M153" t="s">
        <v>911</v>
      </c>
      <c r="N153" t="s">
        <v>911</v>
      </c>
      <c r="O153" t="s">
        <v>960</v>
      </c>
      <c r="P153" t="s">
        <v>960</v>
      </c>
      <c r="Q153" t="s">
        <v>962</v>
      </c>
      <c r="R153" t="s">
        <v>962</v>
      </c>
      <c r="S153" t="s">
        <v>965</v>
      </c>
      <c r="T153" t="str">
        <f t="shared" si="2"/>
        <v>OK</v>
      </c>
      <c r="U153" t="str">
        <f>IF(IF(MID(C153,5,1)="-", C153=D153, IF(OR(MID(C153,3,1)="/",MID(C153,3,1)="."), D153=MID(C153,7,4)&amp;"-"&amp;MID(C153,4,2)&amp;"-"&amp;LEFT(C153,2), D153=MID(C153,8,4)&amp;"-"&amp;TEXT(MATCH(MID(C153,4,3),{"Jan","Feb","Mar","Apr","May","Jun","Jul","Aug","Sep","Oct","Nov","Dec"},0),"00")&amp;"-"&amp;LEFT(C153,2))),"OK","CHECK")</f>
        <v>OK</v>
      </c>
    </row>
    <row r="154" spans="1:21" x14ac:dyDescent="0.35">
      <c r="A154" t="s">
        <v>171</v>
      </c>
      <c r="B154">
        <v>2</v>
      </c>
      <c r="C154" t="s">
        <v>362</v>
      </c>
      <c r="D154" t="s">
        <v>415</v>
      </c>
      <c r="E154" t="s">
        <v>510</v>
      </c>
      <c r="F154" t="s">
        <v>510</v>
      </c>
      <c r="G154" t="s">
        <v>653</v>
      </c>
      <c r="H154" t="s">
        <v>653</v>
      </c>
      <c r="I154" t="s">
        <v>822</v>
      </c>
      <c r="J154" t="s">
        <v>822</v>
      </c>
      <c r="K154" t="s">
        <v>858</v>
      </c>
      <c r="L154" t="s">
        <v>858</v>
      </c>
      <c r="M154" t="s">
        <v>943</v>
      </c>
      <c r="N154" t="s">
        <v>943</v>
      </c>
      <c r="O154" t="s">
        <v>959</v>
      </c>
      <c r="P154" t="s">
        <v>959</v>
      </c>
      <c r="Q154" t="s">
        <v>961</v>
      </c>
      <c r="R154" t="s">
        <v>961</v>
      </c>
      <c r="S154" t="s">
        <v>965</v>
      </c>
      <c r="T154" t="str">
        <f t="shared" si="2"/>
        <v>OK</v>
      </c>
      <c r="U154" t="str">
        <f>IF(IF(MID(C154,5,1)="-", C154=D154, IF(OR(MID(C154,3,1)="/",MID(C154,3,1)="."), D154=MID(C154,7,4)&amp;"-"&amp;MID(C154,4,2)&amp;"-"&amp;LEFT(C154,2), D154=MID(C154,8,4)&amp;"-"&amp;TEXT(MATCH(MID(C154,4,3),{"Jan","Feb","Mar","Apr","May","Jun","Jul","Aug","Sep","Oct","Nov","Dec"},0),"00")&amp;"-"&amp;LEFT(C154,2))),"OK","CHECK")</f>
        <v>OK</v>
      </c>
    </row>
    <row r="155" spans="1:21" x14ac:dyDescent="0.35">
      <c r="A155" t="s">
        <v>172</v>
      </c>
      <c r="B155">
        <v>2</v>
      </c>
      <c r="C155" t="s">
        <v>363</v>
      </c>
      <c r="D155" t="s">
        <v>487</v>
      </c>
      <c r="E155" t="s">
        <v>511</v>
      </c>
      <c r="F155" t="s">
        <v>511</v>
      </c>
      <c r="G155" t="s">
        <v>654</v>
      </c>
      <c r="H155" t="s">
        <v>654</v>
      </c>
      <c r="I155" t="s">
        <v>823</v>
      </c>
      <c r="J155" t="s">
        <v>823</v>
      </c>
      <c r="K155" t="s">
        <v>859</v>
      </c>
      <c r="L155" t="s">
        <v>859</v>
      </c>
      <c r="M155" t="s">
        <v>944</v>
      </c>
      <c r="N155" t="s">
        <v>944</v>
      </c>
      <c r="O155" t="s">
        <v>958</v>
      </c>
      <c r="P155" t="s">
        <v>958</v>
      </c>
      <c r="Q155" t="s">
        <v>963</v>
      </c>
      <c r="R155" t="s">
        <v>963</v>
      </c>
      <c r="S155" t="s">
        <v>965</v>
      </c>
      <c r="T155" t="str">
        <f t="shared" si="2"/>
        <v>OK</v>
      </c>
      <c r="U155" t="str">
        <f>IF(IF(MID(C155,5,1)="-", C155=D155, IF(OR(MID(C155,3,1)="/",MID(C155,3,1)="."), D155=MID(C155,7,4)&amp;"-"&amp;MID(C155,4,2)&amp;"-"&amp;LEFT(C155,2), D155=MID(C155,8,4)&amp;"-"&amp;TEXT(MATCH(MID(C155,4,3),{"Jan","Feb","Mar","Apr","May","Jun","Jul","Aug","Sep","Oct","Nov","Dec"},0),"00")&amp;"-"&amp;LEFT(C155,2))),"OK","CHECK")</f>
        <v>OK</v>
      </c>
    </row>
    <row r="156" spans="1:21" x14ac:dyDescent="0.35">
      <c r="A156" t="s">
        <v>173</v>
      </c>
      <c r="B156">
        <v>1</v>
      </c>
      <c r="C156" t="s">
        <v>364</v>
      </c>
      <c r="D156" t="s">
        <v>488</v>
      </c>
      <c r="E156" t="s">
        <v>509</v>
      </c>
      <c r="F156" t="s">
        <v>509</v>
      </c>
      <c r="G156" t="s">
        <v>655</v>
      </c>
      <c r="H156" t="s">
        <v>655</v>
      </c>
      <c r="I156" t="s">
        <v>824</v>
      </c>
      <c r="J156" t="s">
        <v>824</v>
      </c>
      <c r="K156" t="s">
        <v>857</v>
      </c>
      <c r="L156" t="s">
        <v>857</v>
      </c>
      <c r="M156" t="s">
        <v>934</v>
      </c>
      <c r="N156" t="s">
        <v>934</v>
      </c>
      <c r="O156" t="s">
        <v>958</v>
      </c>
      <c r="P156" t="s">
        <v>958</v>
      </c>
      <c r="Q156" t="s">
        <v>964</v>
      </c>
      <c r="R156" t="s">
        <v>964</v>
      </c>
      <c r="S156" t="s">
        <v>965</v>
      </c>
      <c r="T156" t="str">
        <f t="shared" si="2"/>
        <v>OK</v>
      </c>
      <c r="U156" t="str">
        <f>IF(IF(MID(C156,5,1)="-", C156=D156, IF(OR(MID(C156,3,1)="/",MID(C156,3,1)="."), D156=MID(C156,7,4)&amp;"-"&amp;MID(C156,4,2)&amp;"-"&amp;LEFT(C156,2), D156=MID(C156,8,4)&amp;"-"&amp;TEXT(MATCH(MID(C156,4,3),{"Jan","Feb","Mar","Apr","May","Jun","Jul","Aug","Sep","Oct","Nov","Dec"},0),"00")&amp;"-"&amp;LEFT(C156,2))),"OK","CHECK")</f>
        <v>OK</v>
      </c>
    </row>
    <row r="157" spans="1:21" x14ac:dyDescent="0.35">
      <c r="A157" t="s">
        <v>174</v>
      </c>
      <c r="B157">
        <v>1</v>
      </c>
      <c r="C157" t="s">
        <v>365</v>
      </c>
      <c r="D157" t="s">
        <v>489</v>
      </c>
      <c r="E157" t="s">
        <v>514</v>
      </c>
      <c r="F157" t="s">
        <v>514</v>
      </c>
      <c r="G157" t="s">
        <v>656</v>
      </c>
      <c r="H157" t="s">
        <v>656</v>
      </c>
      <c r="I157" t="s">
        <v>803</v>
      </c>
      <c r="J157" t="s">
        <v>803</v>
      </c>
      <c r="K157" t="s">
        <v>862</v>
      </c>
      <c r="L157" t="s">
        <v>862</v>
      </c>
      <c r="M157" t="s">
        <v>945</v>
      </c>
      <c r="N157" t="s">
        <v>945</v>
      </c>
      <c r="O157" t="s">
        <v>959</v>
      </c>
      <c r="P157" t="s">
        <v>959</v>
      </c>
      <c r="Q157" t="s">
        <v>964</v>
      </c>
      <c r="R157" t="s">
        <v>964</v>
      </c>
      <c r="S157" t="s">
        <v>965</v>
      </c>
      <c r="T157" t="str">
        <f t="shared" si="2"/>
        <v>OK</v>
      </c>
      <c r="U157" t="str">
        <f>IF(IF(MID(C157,5,1)="-", C157=D157, IF(OR(MID(C157,3,1)="/",MID(C157,3,1)="."), D157=MID(C157,7,4)&amp;"-"&amp;MID(C157,4,2)&amp;"-"&amp;LEFT(C157,2), D157=MID(C157,8,4)&amp;"-"&amp;TEXT(MATCH(MID(C157,4,3),{"Jan","Feb","Mar","Apr","May","Jun","Jul","Aug","Sep","Oct","Nov","Dec"},0),"00")&amp;"-"&amp;LEFT(C157,2))),"OK","CHECK")</f>
        <v>OK</v>
      </c>
    </row>
    <row r="158" spans="1:21" x14ac:dyDescent="0.35">
      <c r="A158" t="s">
        <v>175</v>
      </c>
      <c r="B158">
        <v>1</v>
      </c>
      <c r="C158" t="s">
        <v>366</v>
      </c>
      <c r="D158" t="s">
        <v>366</v>
      </c>
      <c r="E158" t="s">
        <v>514</v>
      </c>
      <c r="F158" t="s">
        <v>514</v>
      </c>
      <c r="G158" t="s">
        <v>657</v>
      </c>
      <c r="H158" t="s">
        <v>657</v>
      </c>
      <c r="I158" t="s">
        <v>825</v>
      </c>
      <c r="J158" t="s">
        <v>825</v>
      </c>
      <c r="K158" t="s">
        <v>862</v>
      </c>
      <c r="L158" t="s">
        <v>862</v>
      </c>
      <c r="M158" t="s">
        <v>885</v>
      </c>
      <c r="N158" t="s">
        <v>885</v>
      </c>
      <c r="O158" t="s">
        <v>956</v>
      </c>
      <c r="P158" t="s">
        <v>956</v>
      </c>
      <c r="Q158" t="s">
        <v>961</v>
      </c>
      <c r="R158" t="s">
        <v>961</v>
      </c>
      <c r="S158" t="s">
        <v>965</v>
      </c>
      <c r="T158" t="str">
        <f t="shared" si="2"/>
        <v>OK</v>
      </c>
      <c r="U158" t="str">
        <f>IF(IF(MID(C158,5,1)="-", C158=D158, IF(OR(MID(C158,3,1)="/",MID(C158,3,1)="."), D158=MID(C158,7,4)&amp;"-"&amp;MID(C158,4,2)&amp;"-"&amp;LEFT(C158,2), D158=MID(C158,8,4)&amp;"-"&amp;TEXT(MATCH(MID(C158,4,3),{"Jan","Feb","Mar","Apr","May","Jun","Jul","Aug","Sep","Oct","Nov","Dec"},0),"00")&amp;"-"&amp;LEFT(C158,2))),"OK","CHECK")</f>
        <v>OK</v>
      </c>
    </row>
    <row r="159" spans="1:21" x14ac:dyDescent="0.35">
      <c r="A159" t="s">
        <v>176</v>
      </c>
      <c r="B159">
        <v>1</v>
      </c>
      <c r="C159" t="s">
        <v>367</v>
      </c>
      <c r="D159" t="s">
        <v>490</v>
      </c>
      <c r="E159" t="s">
        <v>513</v>
      </c>
      <c r="F159" t="s">
        <v>513</v>
      </c>
      <c r="G159" t="s">
        <v>658</v>
      </c>
      <c r="H159" t="s">
        <v>658</v>
      </c>
      <c r="I159" t="s">
        <v>823</v>
      </c>
      <c r="J159" t="s">
        <v>823</v>
      </c>
      <c r="K159" t="s">
        <v>861</v>
      </c>
      <c r="L159" t="s">
        <v>861</v>
      </c>
      <c r="M159" t="s">
        <v>905</v>
      </c>
      <c r="N159" t="s">
        <v>905</v>
      </c>
      <c r="O159" t="s">
        <v>959</v>
      </c>
      <c r="P159" t="s">
        <v>959</v>
      </c>
      <c r="Q159" t="s">
        <v>964</v>
      </c>
      <c r="R159" t="s">
        <v>964</v>
      </c>
      <c r="S159" t="s">
        <v>965</v>
      </c>
      <c r="T159" t="str">
        <f t="shared" si="2"/>
        <v>OK</v>
      </c>
      <c r="U159" t="str">
        <f>IF(IF(MID(C159,5,1)="-", C159=D159, IF(OR(MID(C159,3,1)="/",MID(C159,3,1)="."), D159=MID(C159,7,4)&amp;"-"&amp;MID(C159,4,2)&amp;"-"&amp;LEFT(C159,2), D159=MID(C159,8,4)&amp;"-"&amp;TEXT(MATCH(MID(C159,4,3),{"Jan","Feb","Mar","Apr","May","Jun","Jul","Aug","Sep","Oct","Nov","Dec"},0),"00")&amp;"-"&amp;LEFT(C159,2))),"OK","CHECK")</f>
        <v>OK</v>
      </c>
    </row>
    <row r="160" spans="1:21" x14ac:dyDescent="0.35">
      <c r="A160" t="s">
        <v>177</v>
      </c>
      <c r="B160">
        <v>1</v>
      </c>
      <c r="C160" t="s">
        <v>368</v>
      </c>
      <c r="D160" t="s">
        <v>471</v>
      </c>
      <c r="E160" t="s">
        <v>512</v>
      </c>
      <c r="F160" t="s">
        <v>512</v>
      </c>
      <c r="G160" t="s">
        <v>659</v>
      </c>
      <c r="H160" t="s">
        <v>659</v>
      </c>
      <c r="I160" t="s">
        <v>826</v>
      </c>
      <c r="J160" t="s">
        <v>826</v>
      </c>
      <c r="K160" t="s">
        <v>860</v>
      </c>
      <c r="L160" t="s">
        <v>860</v>
      </c>
      <c r="M160" t="s">
        <v>911</v>
      </c>
      <c r="N160" t="s">
        <v>911</v>
      </c>
      <c r="O160" t="s">
        <v>959</v>
      </c>
      <c r="P160" t="s">
        <v>959</v>
      </c>
      <c r="Q160" t="s">
        <v>962</v>
      </c>
      <c r="R160" t="s">
        <v>962</v>
      </c>
      <c r="S160" t="s">
        <v>965</v>
      </c>
      <c r="T160" t="str">
        <f t="shared" si="2"/>
        <v>OK</v>
      </c>
      <c r="U160" t="str">
        <f>IF(IF(MID(C160,5,1)="-", C160=D160, IF(OR(MID(C160,3,1)="/",MID(C160,3,1)="."), D160=MID(C160,7,4)&amp;"-"&amp;MID(C160,4,2)&amp;"-"&amp;LEFT(C160,2), D160=MID(C160,8,4)&amp;"-"&amp;TEXT(MATCH(MID(C160,4,3),{"Jan","Feb","Mar","Apr","May","Jun","Jul","Aug","Sep","Oct","Nov","Dec"},0),"00")&amp;"-"&amp;LEFT(C160,2))),"OK","CHECK")</f>
        <v>OK</v>
      </c>
    </row>
    <row r="161" spans="1:21" x14ac:dyDescent="0.35">
      <c r="A161" t="s">
        <v>178</v>
      </c>
      <c r="B161">
        <v>1</v>
      </c>
      <c r="C161" t="s">
        <v>369</v>
      </c>
      <c r="D161" t="s">
        <v>491</v>
      </c>
      <c r="E161" t="s">
        <v>514</v>
      </c>
      <c r="F161" t="s">
        <v>514</v>
      </c>
      <c r="G161" t="s">
        <v>596</v>
      </c>
      <c r="H161" t="s">
        <v>596</v>
      </c>
      <c r="I161" t="s">
        <v>827</v>
      </c>
      <c r="J161" t="s">
        <v>827</v>
      </c>
      <c r="K161" t="s">
        <v>862</v>
      </c>
      <c r="L161" t="s">
        <v>862</v>
      </c>
      <c r="M161" t="s">
        <v>882</v>
      </c>
      <c r="N161" t="s">
        <v>882</v>
      </c>
      <c r="O161" t="s">
        <v>960</v>
      </c>
      <c r="P161" t="s">
        <v>960</v>
      </c>
      <c r="Q161" t="s">
        <v>961</v>
      </c>
      <c r="R161" t="s">
        <v>961</v>
      </c>
      <c r="S161" t="s">
        <v>965</v>
      </c>
      <c r="T161" t="str">
        <f t="shared" si="2"/>
        <v>OK</v>
      </c>
      <c r="U161" t="str">
        <f>IF(IF(MID(C161,5,1)="-", C161=D161, IF(OR(MID(C161,3,1)="/",MID(C161,3,1)="."), D161=MID(C161,7,4)&amp;"-"&amp;MID(C161,4,2)&amp;"-"&amp;LEFT(C161,2), D161=MID(C161,8,4)&amp;"-"&amp;TEXT(MATCH(MID(C161,4,3),{"Jan","Feb","Mar","Apr","May","Jun","Jul","Aug","Sep","Oct","Nov","Dec"},0),"00")&amp;"-"&amp;LEFT(C161,2))),"OK","CHECK")</f>
        <v>OK</v>
      </c>
    </row>
    <row r="162" spans="1:21" x14ac:dyDescent="0.35">
      <c r="A162" t="s">
        <v>179</v>
      </c>
      <c r="B162">
        <v>1</v>
      </c>
      <c r="C162" t="s">
        <v>269</v>
      </c>
      <c r="D162" t="s">
        <v>430</v>
      </c>
      <c r="E162" t="s">
        <v>511</v>
      </c>
      <c r="F162" t="s">
        <v>511</v>
      </c>
      <c r="G162" t="s">
        <v>660</v>
      </c>
      <c r="H162" t="s">
        <v>660</v>
      </c>
      <c r="I162" t="s">
        <v>828</v>
      </c>
      <c r="J162" t="s">
        <v>828</v>
      </c>
      <c r="K162" t="s">
        <v>859</v>
      </c>
      <c r="L162" t="s">
        <v>859</v>
      </c>
      <c r="M162" t="s">
        <v>905</v>
      </c>
      <c r="N162" t="s">
        <v>905</v>
      </c>
      <c r="O162" t="s">
        <v>959</v>
      </c>
      <c r="P162" t="s">
        <v>959</v>
      </c>
      <c r="Q162" t="s">
        <v>962</v>
      </c>
      <c r="R162" t="s">
        <v>962</v>
      </c>
      <c r="S162" t="s">
        <v>965</v>
      </c>
      <c r="T162" t="str">
        <f t="shared" si="2"/>
        <v>OK</v>
      </c>
      <c r="U162" t="str">
        <f>IF(IF(MID(C162,5,1)="-", C162=D162, IF(OR(MID(C162,3,1)="/",MID(C162,3,1)="."), D162=MID(C162,7,4)&amp;"-"&amp;MID(C162,4,2)&amp;"-"&amp;LEFT(C162,2), D162=MID(C162,8,4)&amp;"-"&amp;TEXT(MATCH(MID(C162,4,3),{"Jan","Feb","Mar","Apr","May","Jun","Jul","Aug","Sep","Oct","Nov","Dec"},0),"00")&amp;"-"&amp;LEFT(C162,2))),"OK","CHECK")</f>
        <v>OK</v>
      </c>
    </row>
    <row r="163" spans="1:21" x14ac:dyDescent="0.35">
      <c r="A163" t="s">
        <v>180</v>
      </c>
      <c r="B163">
        <v>2</v>
      </c>
      <c r="C163" t="s">
        <v>370</v>
      </c>
      <c r="D163" t="s">
        <v>370</v>
      </c>
      <c r="E163" t="s">
        <v>513</v>
      </c>
      <c r="F163" t="s">
        <v>513</v>
      </c>
      <c r="G163" t="s">
        <v>517</v>
      </c>
      <c r="H163" t="s">
        <v>517</v>
      </c>
      <c r="I163" t="s">
        <v>829</v>
      </c>
      <c r="J163" t="s">
        <v>829</v>
      </c>
      <c r="K163" t="s">
        <v>861</v>
      </c>
      <c r="L163" t="s">
        <v>861</v>
      </c>
      <c r="M163" t="s">
        <v>874</v>
      </c>
      <c r="N163" t="s">
        <v>874</v>
      </c>
      <c r="O163" t="s">
        <v>958</v>
      </c>
      <c r="P163" t="s">
        <v>958</v>
      </c>
      <c r="Q163" t="s">
        <v>962</v>
      </c>
      <c r="R163" t="s">
        <v>962</v>
      </c>
      <c r="S163" t="s">
        <v>965</v>
      </c>
      <c r="T163" t="str">
        <f t="shared" si="2"/>
        <v>OK</v>
      </c>
      <c r="U163" t="str">
        <f>IF(IF(MID(C163,5,1)="-", C163=D163, IF(OR(MID(C163,3,1)="/",MID(C163,3,1)="."), D163=MID(C163,7,4)&amp;"-"&amp;MID(C163,4,2)&amp;"-"&amp;LEFT(C163,2), D163=MID(C163,8,4)&amp;"-"&amp;TEXT(MATCH(MID(C163,4,3),{"Jan","Feb","Mar","Apr","May","Jun","Jul","Aug","Sep","Oct","Nov","Dec"},0),"00")&amp;"-"&amp;LEFT(C163,2))),"OK","CHECK")</f>
        <v>OK</v>
      </c>
    </row>
    <row r="164" spans="1:21" x14ac:dyDescent="0.35">
      <c r="A164" t="s">
        <v>181</v>
      </c>
      <c r="B164">
        <v>1</v>
      </c>
      <c r="C164" t="s">
        <v>371</v>
      </c>
      <c r="D164" t="s">
        <v>492</v>
      </c>
      <c r="E164" t="s">
        <v>512</v>
      </c>
      <c r="F164" t="s">
        <v>512</v>
      </c>
      <c r="G164" t="s">
        <v>661</v>
      </c>
      <c r="H164" t="s">
        <v>661</v>
      </c>
      <c r="I164" t="s">
        <v>830</v>
      </c>
      <c r="J164" t="s">
        <v>830</v>
      </c>
      <c r="K164" t="s">
        <v>860</v>
      </c>
      <c r="L164" t="s">
        <v>860</v>
      </c>
      <c r="M164" t="s">
        <v>946</v>
      </c>
      <c r="N164" t="s">
        <v>946</v>
      </c>
      <c r="O164" t="s">
        <v>960</v>
      </c>
      <c r="P164" t="s">
        <v>960</v>
      </c>
      <c r="Q164" t="s">
        <v>961</v>
      </c>
      <c r="R164" t="s">
        <v>961</v>
      </c>
      <c r="S164" t="s">
        <v>965</v>
      </c>
      <c r="T164" t="str">
        <f t="shared" si="2"/>
        <v>OK</v>
      </c>
      <c r="U164" t="str">
        <f>IF(IF(MID(C164,5,1)="-", C164=D164, IF(OR(MID(C164,3,1)="/",MID(C164,3,1)="."), D164=MID(C164,7,4)&amp;"-"&amp;MID(C164,4,2)&amp;"-"&amp;LEFT(C164,2), D164=MID(C164,8,4)&amp;"-"&amp;TEXT(MATCH(MID(C164,4,3),{"Jan","Feb","Mar","Apr","May","Jun","Jul","Aug","Sep","Oct","Nov","Dec"},0),"00")&amp;"-"&amp;LEFT(C164,2))),"OK","CHECK")</f>
        <v>OK</v>
      </c>
    </row>
    <row r="165" spans="1:21" x14ac:dyDescent="0.35">
      <c r="A165" t="s">
        <v>182</v>
      </c>
      <c r="B165">
        <v>1</v>
      </c>
      <c r="C165" t="s">
        <v>372</v>
      </c>
      <c r="D165" t="s">
        <v>493</v>
      </c>
      <c r="E165" t="s">
        <v>510</v>
      </c>
      <c r="F165" t="s">
        <v>510</v>
      </c>
      <c r="G165" t="s">
        <v>662</v>
      </c>
      <c r="H165" t="s">
        <v>662</v>
      </c>
      <c r="I165" t="s">
        <v>831</v>
      </c>
      <c r="J165" t="s">
        <v>831</v>
      </c>
      <c r="K165" t="s">
        <v>858</v>
      </c>
      <c r="L165" t="s">
        <v>858</v>
      </c>
      <c r="M165" t="s">
        <v>947</v>
      </c>
      <c r="N165" t="s">
        <v>947</v>
      </c>
      <c r="O165" t="s">
        <v>956</v>
      </c>
      <c r="P165" t="s">
        <v>956</v>
      </c>
      <c r="Q165" t="s">
        <v>963</v>
      </c>
      <c r="R165" t="s">
        <v>963</v>
      </c>
      <c r="S165" t="s">
        <v>965</v>
      </c>
      <c r="T165" t="str">
        <f t="shared" si="2"/>
        <v>OK</v>
      </c>
      <c r="U165" t="str">
        <f>IF(IF(MID(C165,5,1)="-", C165=D165, IF(OR(MID(C165,3,1)="/",MID(C165,3,1)="."), D165=MID(C165,7,4)&amp;"-"&amp;MID(C165,4,2)&amp;"-"&amp;LEFT(C165,2), D165=MID(C165,8,4)&amp;"-"&amp;TEXT(MATCH(MID(C165,4,3),{"Jan","Feb","Mar","Apr","May","Jun","Jul","Aug","Sep","Oct","Nov","Dec"},0),"00")&amp;"-"&amp;LEFT(C165,2))),"OK","CHECK")</f>
        <v>OK</v>
      </c>
    </row>
    <row r="166" spans="1:21" x14ac:dyDescent="0.35">
      <c r="A166" t="s">
        <v>183</v>
      </c>
      <c r="B166">
        <v>1</v>
      </c>
      <c r="C166" t="s">
        <v>373</v>
      </c>
      <c r="D166" t="s">
        <v>373</v>
      </c>
      <c r="E166" t="s">
        <v>509</v>
      </c>
      <c r="F166" t="s">
        <v>509</v>
      </c>
      <c r="G166" t="s">
        <v>663</v>
      </c>
      <c r="H166" t="s">
        <v>663</v>
      </c>
      <c r="I166" t="s">
        <v>721</v>
      </c>
      <c r="J166" t="s">
        <v>721</v>
      </c>
      <c r="K166" t="s">
        <v>857</v>
      </c>
      <c r="L166" t="s">
        <v>857</v>
      </c>
      <c r="M166" t="s">
        <v>938</v>
      </c>
      <c r="N166" t="s">
        <v>938</v>
      </c>
      <c r="O166" t="s">
        <v>957</v>
      </c>
      <c r="P166" t="s">
        <v>957</v>
      </c>
      <c r="Q166" t="s">
        <v>961</v>
      </c>
      <c r="R166" t="s">
        <v>961</v>
      </c>
      <c r="S166" t="s">
        <v>965</v>
      </c>
      <c r="T166" t="str">
        <f t="shared" si="2"/>
        <v>OK</v>
      </c>
      <c r="U166" t="str">
        <f>IF(IF(MID(C166,5,1)="-", C166=D166, IF(OR(MID(C166,3,1)="/",MID(C166,3,1)="."), D166=MID(C166,7,4)&amp;"-"&amp;MID(C166,4,2)&amp;"-"&amp;LEFT(C166,2), D166=MID(C166,8,4)&amp;"-"&amp;TEXT(MATCH(MID(C166,4,3),{"Jan","Feb","Mar","Apr","May","Jun","Jul","Aug","Sep","Oct","Nov","Dec"},0),"00")&amp;"-"&amp;LEFT(C166,2))),"OK","CHECK")</f>
        <v>OK</v>
      </c>
    </row>
    <row r="167" spans="1:21" x14ac:dyDescent="0.35">
      <c r="A167" t="s">
        <v>184</v>
      </c>
      <c r="B167">
        <v>2</v>
      </c>
      <c r="C167" t="s">
        <v>374</v>
      </c>
      <c r="D167" t="s">
        <v>374</v>
      </c>
      <c r="E167" t="s">
        <v>512</v>
      </c>
      <c r="F167" t="s">
        <v>512</v>
      </c>
      <c r="G167" t="s">
        <v>664</v>
      </c>
      <c r="H167" t="s">
        <v>664</v>
      </c>
      <c r="I167" t="s">
        <v>832</v>
      </c>
      <c r="J167" t="s">
        <v>832</v>
      </c>
      <c r="K167" t="s">
        <v>860</v>
      </c>
      <c r="L167" t="s">
        <v>860</v>
      </c>
      <c r="M167" t="s">
        <v>889</v>
      </c>
      <c r="N167" t="s">
        <v>889</v>
      </c>
      <c r="O167" t="s">
        <v>958</v>
      </c>
      <c r="P167" t="s">
        <v>958</v>
      </c>
      <c r="Q167" t="s">
        <v>961</v>
      </c>
      <c r="R167" t="s">
        <v>961</v>
      </c>
      <c r="S167" t="s">
        <v>965</v>
      </c>
      <c r="T167" t="str">
        <f t="shared" si="2"/>
        <v>OK</v>
      </c>
      <c r="U167" t="str">
        <f>IF(IF(MID(C167,5,1)="-", C167=D167, IF(OR(MID(C167,3,1)="/",MID(C167,3,1)="."), D167=MID(C167,7,4)&amp;"-"&amp;MID(C167,4,2)&amp;"-"&amp;LEFT(C167,2), D167=MID(C167,8,4)&amp;"-"&amp;TEXT(MATCH(MID(C167,4,3),{"Jan","Feb","Mar","Apr","May","Jun","Jul","Aug","Sep","Oct","Nov","Dec"},0),"00")&amp;"-"&amp;LEFT(C167,2))),"OK","CHECK")</f>
        <v>OK</v>
      </c>
    </row>
    <row r="168" spans="1:21" x14ac:dyDescent="0.35">
      <c r="A168" t="s">
        <v>185</v>
      </c>
      <c r="B168">
        <v>2</v>
      </c>
      <c r="C168" t="s">
        <v>375</v>
      </c>
      <c r="D168" t="s">
        <v>375</v>
      </c>
      <c r="E168" t="s">
        <v>510</v>
      </c>
      <c r="F168" t="s">
        <v>510</v>
      </c>
      <c r="G168" t="s">
        <v>665</v>
      </c>
      <c r="H168" t="s">
        <v>665</v>
      </c>
      <c r="I168" t="s">
        <v>833</v>
      </c>
      <c r="J168" t="s">
        <v>833</v>
      </c>
      <c r="K168" t="s">
        <v>858</v>
      </c>
      <c r="L168" t="s">
        <v>858</v>
      </c>
      <c r="M168" t="s">
        <v>892</v>
      </c>
      <c r="N168" t="s">
        <v>892</v>
      </c>
      <c r="O168" t="s">
        <v>957</v>
      </c>
      <c r="P168" t="s">
        <v>957</v>
      </c>
      <c r="Q168" t="s">
        <v>961</v>
      </c>
      <c r="R168" t="s">
        <v>961</v>
      </c>
      <c r="S168" t="s">
        <v>965</v>
      </c>
      <c r="T168" t="str">
        <f t="shared" si="2"/>
        <v>OK</v>
      </c>
      <c r="U168" t="str">
        <f>IF(IF(MID(C168,5,1)="-", C168=D168, IF(OR(MID(C168,3,1)="/",MID(C168,3,1)="."), D168=MID(C168,7,4)&amp;"-"&amp;MID(C168,4,2)&amp;"-"&amp;LEFT(C168,2), D168=MID(C168,8,4)&amp;"-"&amp;TEXT(MATCH(MID(C168,4,3),{"Jan","Feb","Mar","Apr","May","Jun","Jul","Aug","Sep","Oct","Nov","Dec"},0),"00")&amp;"-"&amp;LEFT(C168,2))),"OK","CHECK")</f>
        <v>OK</v>
      </c>
    </row>
    <row r="169" spans="1:21" x14ac:dyDescent="0.35">
      <c r="A169" t="s">
        <v>186</v>
      </c>
      <c r="B169">
        <v>2</v>
      </c>
      <c r="C169" t="s">
        <v>376</v>
      </c>
      <c r="D169" t="s">
        <v>494</v>
      </c>
      <c r="E169" t="s">
        <v>514</v>
      </c>
      <c r="F169" t="s">
        <v>514</v>
      </c>
      <c r="G169" t="s">
        <v>527</v>
      </c>
      <c r="H169" t="s">
        <v>527</v>
      </c>
      <c r="I169" t="s">
        <v>834</v>
      </c>
      <c r="J169" t="s">
        <v>834</v>
      </c>
      <c r="K169" t="s">
        <v>862</v>
      </c>
      <c r="L169" t="s">
        <v>862</v>
      </c>
      <c r="M169" t="s">
        <v>863</v>
      </c>
      <c r="N169" t="s">
        <v>863</v>
      </c>
      <c r="O169" t="s">
        <v>958</v>
      </c>
      <c r="P169" t="s">
        <v>958</v>
      </c>
      <c r="Q169" t="s">
        <v>963</v>
      </c>
      <c r="R169" t="s">
        <v>963</v>
      </c>
      <c r="S169" t="s">
        <v>965</v>
      </c>
      <c r="T169" t="str">
        <f t="shared" si="2"/>
        <v>OK</v>
      </c>
      <c r="U169" t="str">
        <f>IF(IF(MID(C169,5,1)="-", C169=D169, IF(OR(MID(C169,3,1)="/",MID(C169,3,1)="."), D169=MID(C169,7,4)&amp;"-"&amp;MID(C169,4,2)&amp;"-"&amp;LEFT(C169,2), D169=MID(C169,8,4)&amp;"-"&amp;TEXT(MATCH(MID(C169,4,3),{"Jan","Feb","Mar","Apr","May","Jun","Jul","Aug","Sep","Oct","Nov","Dec"},0),"00")&amp;"-"&amp;LEFT(C169,2))),"OK","CHECK")</f>
        <v>OK</v>
      </c>
    </row>
    <row r="170" spans="1:21" x14ac:dyDescent="0.35">
      <c r="A170" t="s">
        <v>187</v>
      </c>
      <c r="B170">
        <v>1</v>
      </c>
      <c r="C170" t="s">
        <v>377</v>
      </c>
      <c r="D170" t="s">
        <v>466</v>
      </c>
      <c r="E170" t="s">
        <v>512</v>
      </c>
      <c r="F170" t="s">
        <v>512</v>
      </c>
      <c r="G170" t="s">
        <v>666</v>
      </c>
      <c r="H170" t="s">
        <v>666</v>
      </c>
      <c r="I170" t="s">
        <v>835</v>
      </c>
      <c r="J170" t="s">
        <v>835</v>
      </c>
      <c r="K170" t="s">
        <v>860</v>
      </c>
      <c r="L170" t="s">
        <v>860</v>
      </c>
      <c r="M170" t="s">
        <v>948</v>
      </c>
      <c r="N170" t="s">
        <v>948</v>
      </c>
      <c r="O170" t="s">
        <v>956</v>
      </c>
      <c r="P170" t="s">
        <v>956</v>
      </c>
      <c r="Q170" t="s">
        <v>961</v>
      </c>
      <c r="R170" t="s">
        <v>961</v>
      </c>
      <c r="S170" t="s">
        <v>965</v>
      </c>
      <c r="T170" t="str">
        <f t="shared" si="2"/>
        <v>OK</v>
      </c>
      <c r="U170" t="str">
        <f>IF(IF(MID(C170,5,1)="-", C170=D170, IF(OR(MID(C170,3,1)="/",MID(C170,3,1)="."), D170=MID(C170,7,4)&amp;"-"&amp;MID(C170,4,2)&amp;"-"&amp;LEFT(C170,2), D170=MID(C170,8,4)&amp;"-"&amp;TEXT(MATCH(MID(C170,4,3),{"Jan","Feb","Mar","Apr","May","Jun","Jul","Aug","Sep","Oct","Nov","Dec"},0),"00")&amp;"-"&amp;LEFT(C170,2))),"OK","CHECK")</f>
        <v>OK</v>
      </c>
    </row>
    <row r="171" spans="1:21" x14ac:dyDescent="0.35">
      <c r="A171" t="s">
        <v>188</v>
      </c>
      <c r="B171">
        <v>1</v>
      </c>
      <c r="C171" t="s">
        <v>362</v>
      </c>
      <c r="D171" t="s">
        <v>415</v>
      </c>
      <c r="E171" t="s">
        <v>512</v>
      </c>
      <c r="F171" t="s">
        <v>512</v>
      </c>
      <c r="G171" t="s">
        <v>667</v>
      </c>
      <c r="H171" t="s">
        <v>667</v>
      </c>
      <c r="I171" t="s">
        <v>836</v>
      </c>
      <c r="J171" t="s">
        <v>836</v>
      </c>
      <c r="K171" t="s">
        <v>860</v>
      </c>
      <c r="L171" t="s">
        <v>860</v>
      </c>
      <c r="M171" t="s">
        <v>931</v>
      </c>
      <c r="N171" t="s">
        <v>931</v>
      </c>
      <c r="O171" t="s">
        <v>956</v>
      </c>
      <c r="P171" t="s">
        <v>956</v>
      </c>
      <c r="Q171" t="s">
        <v>962</v>
      </c>
      <c r="R171" t="s">
        <v>962</v>
      </c>
      <c r="S171" t="s">
        <v>965</v>
      </c>
      <c r="T171" t="str">
        <f t="shared" si="2"/>
        <v>OK</v>
      </c>
      <c r="U171" t="str">
        <f>IF(IF(MID(C171,5,1)="-", C171=D171, IF(OR(MID(C171,3,1)="/",MID(C171,3,1)="."), D171=MID(C171,7,4)&amp;"-"&amp;MID(C171,4,2)&amp;"-"&amp;LEFT(C171,2), D171=MID(C171,8,4)&amp;"-"&amp;TEXT(MATCH(MID(C171,4,3),{"Jan","Feb","Mar","Apr","May","Jun","Jul","Aug","Sep","Oct","Nov","Dec"},0),"00")&amp;"-"&amp;LEFT(C171,2))),"OK","CHECK")</f>
        <v>OK</v>
      </c>
    </row>
    <row r="172" spans="1:21" x14ac:dyDescent="0.35">
      <c r="A172" t="s">
        <v>189</v>
      </c>
      <c r="B172">
        <v>1</v>
      </c>
      <c r="C172" t="s">
        <v>378</v>
      </c>
      <c r="D172" t="s">
        <v>476</v>
      </c>
      <c r="E172" t="s">
        <v>512</v>
      </c>
      <c r="F172" t="s">
        <v>512</v>
      </c>
      <c r="G172" t="s">
        <v>668</v>
      </c>
      <c r="H172" t="s">
        <v>668</v>
      </c>
      <c r="I172" t="s">
        <v>717</v>
      </c>
      <c r="J172" t="s">
        <v>717</v>
      </c>
      <c r="K172" t="s">
        <v>860</v>
      </c>
      <c r="L172" t="s">
        <v>860</v>
      </c>
      <c r="M172" t="s">
        <v>889</v>
      </c>
      <c r="N172" t="s">
        <v>889</v>
      </c>
      <c r="O172" t="s">
        <v>956</v>
      </c>
      <c r="P172" t="s">
        <v>956</v>
      </c>
      <c r="Q172" t="s">
        <v>963</v>
      </c>
      <c r="R172" t="s">
        <v>963</v>
      </c>
      <c r="S172" t="s">
        <v>965</v>
      </c>
      <c r="T172" t="str">
        <f t="shared" si="2"/>
        <v>OK</v>
      </c>
      <c r="U172" t="str">
        <f>IF(IF(MID(C172,5,1)="-", C172=D172, IF(OR(MID(C172,3,1)="/",MID(C172,3,1)="."), D172=MID(C172,7,4)&amp;"-"&amp;MID(C172,4,2)&amp;"-"&amp;LEFT(C172,2), D172=MID(C172,8,4)&amp;"-"&amp;TEXT(MATCH(MID(C172,4,3),{"Jan","Feb","Mar","Apr","May","Jun","Jul","Aug","Sep","Oct","Nov","Dec"},0),"00")&amp;"-"&amp;LEFT(C172,2))),"OK","CHECK")</f>
        <v>OK</v>
      </c>
    </row>
    <row r="173" spans="1:21" x14ac:dyDescent="0.35">
      <c r="A173" t="s">
        <v>190</v>
      </c>
      <c r="B173">
        <v>1</v>
      </c>
      <c r="C173" t="s">
        <v>379</v>
      </c>
      <c r="D173" t="s">
        <v>495</v>
      </c>
      <c r="E173" t="s">
        <v>511</v>
      </c>
      <c r="F173" t="s">
        <v>511</v>
      </c>
      <c r="G173" t="s">
        <v>669</v>
      </c>
      <c r="H173" t="s">
        <v>669</v>
      </c>
      <c r="I173" t="s">
        <v>706</v>
      </c>
      <c r="J173" t="s">
        <v>706</v>
      </c>
      <c r="K173" t="s">
        <v>859</v>
      </c>
      <c r="L173" t="s">
        <v>859</v>
      </c>
      <c r="M173" t="s">
        <v>896</v>
      </c>
      <c r="N173" t="s">
        <v>896</v>
      </c>
      <c r="O173" t="s">
        <v>957</v>
      </c>
      <c r="P173" t="s">
        <v>957</v>
      </c>
      <c r="Q173" t="s">
        <v>963</v>
      </c>
      <c r="R173" t="s">
        <v>963</v>
      </c>
      <c r="S173" t="s">
        <v>965</v>
      </c>
      <c r="T173" t="str">
        <f t="shared" si="2"/>
        <v>OK</v>
      </c>
      <c r="U173" t="str">
        <f>IF(IF(MID(C173,5,1)="-", C173=D173, IF(OR(MID(C173,3,1)="/",MID(C173,3,1)="."), D173=MID(C173,7,4)&amp;"-"&amp;MID(C173,4,2)&amp;"-"&amp;LEFT(C173,2), D173=MID(C173,8,4)&amp;"-"&amp;TEXT(MATCH(MID(C173,4,3),{"Jan","Feb","Mar","Apr","May","Jun","Jul","Aug","Sep","Oct","Nov","Dec"},0),"00")&amp;"-"&amp;LEFT(C173,2))),"OK","CHECK")</f>
        <v>OK</v>
      </c>
    </row>
    <row r="174" spans="1:21" x14ac:dyDescent="0.35">
      <c r="A174" t="s">
        <v>191</v>
      </c>
      <c r="B174">
        <v>1</v>
      </c>
      <c r="C174" t="s">
        <v>380</v>
      </c>
      <c r="D174" t="s">
        <v>380</v>
      </c>
      <c r="E174" t="s">
        <v>514</v>
      </c>
      <c r="F174" t="s">
        <v>514</v>
      </c>
      <c r="G174" t="s">
        <v>519</v>
      </c>
      <c r="H174" t="s">
        <v>519</v>
      </c>
      <c r="I174" t="s">
        <v>837</v>
      </c>
      <c r="J174" t="s">
        <v>837</v>
      </c>
      <c r="K174" t="s">
        <v>862</v>
      </c>
      <c r="L174" t="s">
        <v>862</v>
      </c>
      <c r="M174" t="s">
        <v>902</v>
      </c>
      <c r="N174" t="s">
        <v>902</v>
      </c>
      <c r="O174" t="s">
        <v>959</v>
      </c>
      <c r="P174" t="s">
        <v>959</v>
      </c>
      <c r="Q174" t="s">
        <v>963</v>
      </c>
      <c r="R174" t="s">
        <v>963</v>
      </c>
      <c r="S174" t="s">
        <v>965</v>
      </c>
      <c r="T174" t="str">
        <f t="shared" si="2"/>
        <v>OK</v>
      </c>
      <c r="U174" t="str">
        <f>IF(IF(MID(C174,5,1)="-", C174=D174, IF(OR(MID(C174,3,1)="/",MID(C174,3,1)="."), D174=MID(C174,7,4)&amp;"-"&amp;MID(C174,4,2)&amp;"-"&amp;LEFT(C174,2), D174=MID(C174,8,4)&amp;"-"&amp;TEXT(MATCH(MID(C174,4,3),{"Jan","Feb","Mar","Apr","May","Jun","Jul","Aug","Sep","Oct","Nov","Dec"},0),"00")&amp;"-"&amp;LEFT(C174,2))),"OK","CHECK")</f>
        <v>OK</v>
      </c>
    </row>
    <row r="175" spans="1:21" x14ac:dyDescent="0.35">
      <c r="A175" t="s">
        <v>192</v>
      </c>
      <c r="B175">
        <v>1</v>
      </c>
      <c r="C175" t="s">
        <v>381</v>
      </c>
      <c r="D175" t="s">
        <v>442</v>
      </c>
      <c r="E175" t="s">
        <v>509</v>
      </c>
      <c r="F175" t="s">
        <v>509</v>
      </c>
      <c r="G175" t="s">
        <v>670</v>
      </c>
      <c r="H175" t="s">
        <v>670</v>
      </c>
      <c r="I175" t="s">
        <v>838</v>
      </c>
      <c r="J175" t="s">
        <v>838</v>
      </c>
      <c r="K175" t="s">
        <v>857</v>
      </c>
      <c r="L175" t="s">
        <v>857</v>
      </c>
      <c r="M175" t="s">
        <v>922</v>
      </c>
      <c r="N175" t="s">
        <v>922</v>
      </c>
      <c r="O175" t="s">
        <v>958</v>
      </c>
      <c r="P175" t="s">
        <v>958</v>
      </c>
      <c r="Q175" t="s">
        <v>963</v>
      </c>
      <c r="R175" t="s">
        <v>963</v>
      </c>
      <c r="S175" t="s">
        <v>965</v>
      </c>
      <c r="T175" t="str">
        <f t="shared" si="2"/>
        <v>OK</v>
      </c>
      <c r="U175" t="str">
        <f>IF(IF(MID(C175,5,1)="-", C175=D175, IF(OR(MID(C175,3,1)="/",MID(C175,3,1)="."), D175=MID(C175,7,4)&amp;"-"&amp;MID(C175,4,2)&amp;"-"&amp;LEFT(C175,2), D175=MID(C175,8,4)&amp;"-"&amp;TEXT(MATCH(MID(C175,4,3),{"Jan","Feb","Mar","Apr","May","Jun","Jul","Aug","Sep","Oct","Nov","Dec"},0),"00")&amp;"-"&amp;LEFT(C175,2))),"OK","CHECK")</f>
        <v>OK</v>
      </c>
    </row>
    <row r="176" spans="1:21" x14ac:dyDescent="0.35">
      <c r="A176" t="s">
        <v>193</v>
      </c>
      <c r="B176">
        <v>1</v>
      </c>
      <c r="C176" t="s">
        <v>382</v>
      </c>
      <c r="D176" t="s">
        <v>267</v>
      </c>
      <c r="E176" t="s">
        <v>510</v>
      </c>
      <c r="F176" t="s">
        <v>510</v>
      </c>
      <c r="G176" t="s">
        <v>671</v>
      </c>
      <c r="H176" t="s">
        <v>671</v>
      </c>
      <c r="I176" t="s">
        <v>839</v>
      </c>
      <c r="J176" t="s">
        <v>839</v>
      </c>
      <c r="K176" t="s">
        <v>858</v>
      </c>
      <c r="L176" t="s">
        <v>858</v>
      </c>
      <c r="M176" t="s">
        <v>928</v>
      </c>
      <c r="N176" t="s">
        <v>928</v>
      </c>
      <c r="O176" t="s">
        <v>957</v>
      </c>
      <c r="P176" t="s">
        <v>957</v>
      </c>
      <c r="Q176" t="s">
        <v>964</v>
      </c>
      <c r="R176" t="s">
        <v>964</v>
      </c>
      <c r="S176" t="s">
        <v>965</v>
      </c>
      <c r="T176" t="str">
        <f t="shared" si="2"/>
        <v>OK</v>
      </c>
      <c r="U176" t="str">
        <f>IF(IF(MID(C176,5,1)="-", C176=D176, IF(OR(MID(C176,3,1)="/",MID(C176,3,1)="."), D176=MID(C176,7,4)&amp;"-"&amp;MID(C176,4,2)&amp;"-"&amp;LEFT(C176,2), D176=MID(C176,8,4)&amp;"-"&amp;TEXT(MATCH(MID(C176,4,3),{"Jan","Feb","Mar","Apr","May","Jun","Jul","Aug","Sep","Oct","Nov","Dec"},0),"00")&amp;"-"&amp;LEFT(C176,2))),"OK","CHECK")</f>
        <v>OK</v>
      </c>
    </row>
    <row r="177" spans="1:21" x14ac:dyDescent="0.35">
      <c r="A177" t="s">
        <v>194</v>
      </c>
      <c r="B177">
        <v>1</v>
      </c>
      <c r="C177" t="s">
        <v>242</v>
      </c>
      <c r="D177" t="s">
        <v>242</v>
      </c>
      <c r="E177" t="s">
        <v>514</v>
      </c>
      <c r="F177" t="s">
        <v>514</v>
      </c>
      <c r="G177" t="s">
        <v>529</v>
      </c>
      <c r="H177" t="s">
        <v>529</v>
      </c>
      <c r="I177" t="s">
        <v>840</v>
      </c>
      <c r="J177" t="s">
        <v>840</v>
      </c>
      <c r="K177" t="s">
        <v>862</v>
      </c>
      <c r="L177" t="s">
        <v>862</v>
      </c>
      <c r="M177" t="s">
        <v>949</v>
      </c>
      <c r="N177" t="s">
        <v>949</v>
      </c>
      <c r="O177" t="s">
        <v>959</v>
      </c>
      <c r="P177" t="s">
        <v>959</v>
      </c>
      <c r="Q177" t="s">
        <v>962</v>
      </c>
      <c r="R177" t="s">
        <v>962</v>
      </c>
      <c r="S177" t="s">
        <v>965</v>
      </c>
      <c r="T177" t="str">
        <f t="shared" si="2"/>
        <v>OK</v>
      </c>
      <c r="U177" t="str">
        <f>IF(IF(MID(C177,5,1)="-", C177=D177, IF(OR(MID(C177,3,1)="/",MID(C177,3,1)="."), D177=MID(C177,7,4)&amp;"-"&amp;MID(C177,4,2)&amp;"-"&amp;LEFT(C177,2), D177=MID(C177,8,4)&amp;"-"&amp;TEXT(MATCH(MID(C177,4,3),{"Jan","Feb","Mar","Apr","May","Jun","Jul","Aug","Sep","Oct","Nov","Dec"},0),"00")&amp;"-"&amp;LEFT(C177,2))),"OK","CHECK")</f>
        <v>OK</v>
      </c>
    </row>
    <row r="178" spans="1:21" x14ac:dyDescent="0.35">
      <c r="A178" t="s">
        <v>195</v>
      </c>
      <c r="B178">
        <v>1</v>
      </c>
      <c r="C178" t="s">
        <v>281</v>
      </c>
      <c r="D178" t="s">
        <v>436</v>
      </c>
      <c r="E178" t="s">
        <v>509</v>
      </c>
      <c r="F178" t="s">
        <v>509</v>
      </c>
      <c r="G178" t="s">
        <v>672</v>
      </c>
      <c r="H178" t="s">
        <v>672</v>
      </c>
      <c r="I178" t="s">
        <v>841</v>
      </c>
      <c r="J178" t="s">
        <v>841</v>
      </c>
      <c r="K178" t="s">
        <v>857</v>
      </c>
      <c r="L178" t="s">
        <v>857</v>
      </c>
      <c r="M178" t="s">
        <v>950</v>
      </c>
      <c r="N178" t="s">
        <v>950</v>
      </c>
      <c r="O178" t="s">
        <v>957</v>
      </c>
      <c r="P178" t="s">
        <v>957</v>
      </c>
      <c r="Q178" t="s">
        <v>963</v>
      </c>
      <c r="R178" t="s">
        <v>963</v>
      </c>
      <c r="S178" t="s">
        <v>965</v>
      </c>
      <c r="T178" t="str">
        <f t="shared" si="2"/>
        <v>OK</v>
      </c>
      <c r="U178" t="str">
        <f>IF(IF(MID(C178,5,1)="-", C178=D178, IF(OR(MID(C178,3,1)="/",MID(C178,3,1)="."), D178=MID(C178,7,4)&amp;"-"&amp;MID(C178,4,2)&amp;"-"&amp;LEFT(C178,2), D178=MID(C178,8,4)&amp;"-"&amp;TEXT(MATCH(MID(C178,4,3),{"Jan","Feb","Mar","Apr","May","Jun","Jul","Aug","Sep","Oct","Nov","Dec"},0),"00")&amp;"-"&amp;LEFT(C178,2))),"OK","CHECK")</f>
        <v>OK</v>
      </c>
    </row>
    <row r="179" spans="1:21" x14ac:dyDescent="0.35">
      <c r="A179" t="s">
        <v>196</v>
      </c>
      <c r="B179">
        <v>1</v>
      </c>
      <c r="C179" t="s">
        <v>383</v>
      </c>
      <c r="D179" t="s">
        <v>496</v>
      </c>
      <c r="E179" t="s">
        <v>513</v>
      </c>
      <c r="F179" t="s">
        <v>513</v>
      </c>
      <c r="G179" t="s">
        <v>638</v>
      </c>
      <c r="H179" t="s">
        <v>638</v>
      </c>
      <c r="I179" t="s">
        <v>842</v>
      </c>
      <c r="J179" t="s">
        <v>842</v>
      </c>
      <c r="K179" t="s">
        <v>861</v>
      </c>
      <c r="L179" t="s">
        <v>861</v>
      </c>
      <c r="M179" t="s">
        <v>866</v>
      </c>
      <c r="N179" t="s">
        <v>866</v>
      </c>
      <c r="O179" t="s">
        <v>958</v>
      </c>
      <c r="P179" t="s">
        <v>958</v>
      </c>
      <c r="Q179" t="s">
        <v>963</v>
      </c>
      <c r="R179" t="s">
        <v>963</v>
      </c>
      <c r="S179" t="s">
        <v>965</v>
      </c>
      <c r="T179" t="str">
        <f t="shared" si="2"/>
        <v>OK</v>
      </c>
      <c r="U179" t="str">
        <f>IF(IF(MID(C179,5,1)="-", C179=D179, IF(OR(MID(C179,3,1)="/",MID(C179,3,1)="."), D179=MID(C179,7,4)&amp;"-"&amp;MID(C179,4,2)&amp;"-"&amp;LEFT(C179,2), D179=MID(C179,8,4)&amp;"-"&amp;TEXT(MATCH(MID(C179,4,3),{"Jan","Feb","Mar","Apr","May","Jun","Jul","Aug","Sep","Oct","Nov","Dec"},0),"00")&amp;"-"&amp;LEFT(C179,2))),"OK","CHECK")</f>
        <v>OK</v>
      </c>
    </row>
    <row r="180" spans="1:21" x14ac:dyDescent="0.35">
      <c r="A180" t="s">
        <v>197</v>
      </c>
      <c r="B180">
        <v>2</v>
      </c>
      <c r="C180" t="s">
        <v>384</v>
      </c>
      <c r="D180" t="s">
        <v>497</v>
      </c>
      <c r="E180" t="s">
        <v>510</v>
      </c>
      <c r="F180" t="s">
        <v>510</v>
      </c>
      <c r="G180" t="s">
        <v>673</v>
      </c>
      <c r="H180" t="s">
        <v>673</v>
      </c>
      <c r="I180" t="s">
        <v>843</v>
      </c>
      <c r="J180" t="s">
        <v>843</v>
      </c>
      <c r="K180" t="s">
        <v>858</v>
      </c>
      <c r="L180" t="s">
        <v>858</v>
      </c>
      <c r="M180" t="s">
        <v>911</v>
      </c>
      <c r="N180" t="s">
        <v>911</v>
      </c>
      <c r="O180" t="s">
        <v>956</v>
      </c>
      <c r="P180" t="s">
        <v>956</v>
      </c>
      <c r="Q180" t="s">
        <v>961</v>
      </c>
      <c r="R180" t="s">
        <v>961</v>
      </c>
      <c r="S180" t="s">
        <v>965</v>
      </c>
      <c r="T180" t="str">
        <f t="shared" si="2"/>
        <v>OK</v>
      </c>
      <c r="U180" t="str">
        <f>IF(IF(MID(C180,5,1)="-", C180=D180, IF(OR(MID(C180,3,1)="/",MID(C180,3,1)="."), D180=MID(C180,7,4)&amp;"-"&amp;MID(C180,4,2)&amp;"-"&amp;LEFT(C180,2), D180=MID(C180,8,4)&amp;"-"&amp;TEXT(MATCH(MID(C180,4,3),{"Jan","Feb","Mar","Apr","May","Jun","Jul","Aug","Sep","Oct","Nov","Dec"},0),"00")&amp;"-"&amp;LEFT(C180,2))),"OK","CHECK")</f>
        <v>OK</v>
      </c>
    </row>
    <row r="181" spans="1:21" x14ac:dyDescent="0.35">
      <c r="A181" t="s">
        <v>198</v>
      </c>
      <c r="B181">
        <v>1</v>
      </c>
      <c r="C181" t="s">
        <v>385</v>
      </c>
      <c r="D181" t="s">
        <v>498</v>
      </c>
      <c r="E181" t="s">
        <v>510</v>
      </c>
      <c r="F181" t="s">
        <v>510</v>
      </c>
      <c r="G181" t="s">
        <v>674</v>
      </c>
      <c r="H181" t="s">
        <v>674</v>
      </c>
      <c r="I181" t="s">
        <v>844</v>
      </c>
      <c r="J181" t="s">
        <v>844</v>
      </c>
      <c r="K181" t="s">
        <v>858</v>
      </c>
      <c r="L181" t="s">
        <v>858</v>
      </c>
      <c r="M181" t="s">
        <v>897</v>
      </c>
      <c r="N181" t="s">
        <v>897</v>
      </c>
      <c r="O181" t="s">
        <v>960</v>
      </c>
      <c r="P181" t="s">
        <v>960</v>
      </c>
      <c r="Q181" t="s">
        <v>961</v>
      </c>
      <c r="R181" t="s">
        <v>961</v>
      </c>
      <c r="S181" t="s">
        <v>965</v>
      </c>
      <c r="T181" t="str">
        <f t="shared" si="2"/>
        <v>OK</v>
      </c>
      <c r="U181" t="str">
        <f>IF(IF(MID(C181,5,1)="-", C181=D181, IF(OR(MID(C181,3,1)="/",MID(C181,3,1)="."), D181=MID(C181,7,4)&amp;"-"&amp;MID(C181,4,2)&amp;"-"&amp;LEFT(C181,2), D181=MID(C181,8,4)&amp;"-"&amp;TEXT(MATCH(MID(C181,4,3),{"Jan","Feb","Mar","Apr","May","Jun","Jul","Aug","Sep","Oct","Nov","Dec"},0),"00")&amp;"-"&amp;LEFT(C181,2))),"OK","CHECK")</f>
        <v>OK</v>
      </c>
    </row>
    <row r="182" spans="1:21" x14ac:dyDescent="0.35">
      <c r="A182" t="s">
        <v>199</v>
      </c>
      <c r="B182">
        <v>1</v>
      </c>
      <c r="C182" t="s">
        <v>386</v>
      </c>
      <c r="D182" t="s">
        <v>386</v>
      </c>
      <c r="E182" t="s">
        <v>514</v>
      </c>
      <c r="F182" t="s">
        <v>514</v>
      </c>
      <c r="G182" t="s">
        <v>613</v>
      </c>
      <c r="H182" t="s">
        <v>613</v>
      </c>
      <c r="I182" t="s">
        <v>845</v>
      </c>
      <c r="J182" t="s">
        <v>845</v>
      </c>
      <c r="K182" t="s">
        <v>862</v>
      </c>
      <c r="L182" t="s">
        <v>862</v>
      </c>
      <c r="M182" t="s">
        <v>916</v>
      </c>
      <c r="N182" t="s">
        <v>916</v>
      </c>
      <c r="O182" t="s">
        <v>960</v>
      </c>
      <c r="P182" t="s">
        <v>960</v>
      </c>
      <c r="Q182" t="s">
        <v>961</v>
      </c>
      <c r="R182" t="s">
        <v>961</v>
      </c>
      <c r="S182" t="s">
        <v>965</v>
      </c>
      <c r="T182" t="str">
        <f t="shared" si="2"/>
        <v>OK</v>
      </c>
      <c r="U182" t="str">
        <f>IF(IF(MID(C182,5,1)="-", C182=D182, IF(OR(MID(C182,3,1)="/",MID(C182,3,1)="."), D182=MID(C182,7,4)&amp;"-"&amp;MID(C182,4,2)&amp;"-"&amp;LEFT(C182,2), D182=MID(C182,8,4)&amp;"-"&amp;TEXT(MATCH(MID(C182,4,3),{"Jan","Feb","Mar","Apr","May","Jun","Jul","Aug","Sep","Oct","Nov","Dec"},0),"00")&amp;"-"&amp;LEFT(C182,2))),"OK","CHECK")</f>
        <v>OK</v>
      </c>
    </row>
    <row r="183" spans="1:21" x14ac:dyDescent="0.35">
      <c r="A183" t="s">
        <v>200</v>
      </c>
      <c r="B183">
        <v>2</v>
      </c>
      <c r="C183" t="s">
        <v>387</v>
      </c>
      <c r="D183" t="s">
        <v>467</v>
      </c>
      <c r="E183" t="s">
        <v>513</v>
      </c>
      <c r="F183" t="s">
        <v>513</v>
      </c>
      <c r="G183" t="s">
        <v>675</v>
      </c>
      <c r="H183" t="s">
        <v>675</v>
      </c>
      <c r="I183" t="s">
        <v>779</v>
      </c>
      <c r="J183" t="s">
        <v>779</v>
      </c>
      <c r="K183" t="s">
        <v>861</v>
      </c>
      <c r="L183" t="s">
        <v>861</v>
      </c>
      <c r="M183" t="s">
        <v>899</v>
      </c>
      <c r="N183" t="s">
        <v>899</v>
      </c>
      <c r="O183" t="s">
        <v>958</v>
      </c>
      <c r="P183" t="s">
        <v>958</v>
      </c>
      <c r="Q183" t="s">
        <v>964</v>
      </c>
      <c r="R183" t="s">
        <v>964</v>
      </c>
      <c r="S183" t="s">
        <v>965</v>
      </c>
      <c r="T183" t="str">
        <f t="shared" si="2"/>
        <v>OK</v>
      </c>
      <c r="U183" t="str">
        <f>IF(IF(MID(C183,5,1)="-", C183=D183, IF(OR(MID(C183,3,1)="/",MID(C183,3,1)="."), D183=MID(C183,7,4)&amp;"-"&amp;MID(C183,4,2)&amp;"-"&amp;LEFT(C183,2), D183=MID(C183,8,4)&amp;"-"&amp;TEXT(MATCH(MID(C183,4,3),{"Jan","Feb","Mar","Apr","May","Jun","Jul","Aug","Sep","Oct","Nov","Dec"},0),"00")&amp;"-"&amp;LEFT(C183,2))),"OK","CHECK")</f>
        <v>OK</v>
      </c>
    </row>
    <row r="184" spans="1:21" x14ac:dyDescent="0.35">
      <c r="A184" t="s">
        <v>201</v>
      </c>
      <c r="B184">
        <v>1</v>
      </c>
      <c r="C184" t="s">
        <v>388</v>
      </c>
      <c r="D184" t="s">
        <v>499</v>
      </c>
      <c r="E184" t="s">
        <v>509</v>
      </c>
      <c r="F184" t="s">
        <v>509</v>
      </c>
      <c r="G184" t="s">
        <v>676</v>
      </c>
      <c r="H184" t="s">
        <v>676</v>
      </c>
      <c r="I184" t="s">
        <v>846</v>
      </c>
      <c r="J184" t="s">
        <v>846</v>
      </c>
      <c r="K184" t="s">
        <v>857</v>
      </c>
      <c r="L184" t="s">
        <v>857</v>
      </c>
      <c r="M184" t="s">
        <v>915</v>
      </c>
      <c r="N184" t="s">
        <v>915</v>
      </c>
      <c r="O184" t="s">
        <v>956</v>
      </c>
      <c r="P184" t="s">
        <v>956</v>
      </c>
      <c r="Q184" t="s">
        <v>963</v>
      </c>
      <c r="R184" t="s">
        <v>963</v>
      </c>
      <c r="S184" t="s">
        <v>965</v>
      </c>
      <c r="T184" t="str">
        <f t="shared" si="2"/>
        <v>OK</v>
      </c>
      <c r="U184" t="str">
        <f>IF(IF(MID(C184,5,1)="-", C184=D184, IF(OR(MID(C184,3,1)="/",MID(C184,3,1)="."), D184=MID(C184,7,4)&amp;"-"&amp;MID(C184,4,2)&amp;"-"&amp;LEFT(C184,2), D184=MID(C184,8,4)&amp;"-"&amp;TEXT(MATCH(MID(C184,4,3),{"Jan","Feb","Mar","Apr","May","Jun","Jul","Aug","Sep","Oct","Nov","Dec"},0),"00")&amp;"-"&amp;LEFT(C184,2))),"OK","CHECK")</f>
        <v>OK</v>
      </c>
    </row>
    <row r="185" spans="1:21" x14ac:dyDescent="0.35">
      <c r="A185" t="s">
        <v>202</v>
      </c>
      <c r="B185">
        <v>1</v>
      </c>
      <c r="C185" t="s">
        <v>389</v>
      </c>
      <c r="D185" t="s">
        <v>500</v>
      </c>
      <c r="E185" t="s">
        <v>509</v>
      </c>
      <c r="F185" t="s">
        <v>509</v>
      </c>
      <c r="G185" t="s">
        <v>677</v>
      </c>
      <c r="H185" t="s">
        <v>677</v>
      </c>
      <c r="I185" t="s">
        <v>847</v>
      </c>
      <c r="J185" t="s">
        <v>847</v>
      </c>
      <c r="K185" t="s">
        <v>857</v>
      </c>
      <c r="L185" t="s">
        <v>857</v>
      </c>
      <c r="M185" t="s">
        <v>951</v>
      </c>
      <c r="N185" t="s">
        <v>951</v>
      </c>
      <c r="O185" t="s">
        <v>959</v>
      </c>
      <c r="P185" t="s">
        <v>959</v>
      </c>
      <c r="Q185" t="s">
        <v>961</v>
      </c>
      <c r="R185" t="s">
        <v>961</v>
      </c>
      <c r="S185" t="s">
        <v>965</v>
      </c>
      <c r="T185" t="str">
        <f t="shared" si="2"/>
        <v>OK</v>
      </c>
      <c r="U185" t="str">
        <f>IF(IF(MID(C185,5,1)="-", C185=D185, IF(OR(MID(C185,3,1)="/",MID(C185,3,1)="."), D185=MID(C185,7,4)&amp;"-"&amp;MID(C185,4,2)&amp;"-"&amp;LEFT(C185,2), D185=MID(C185,8,4)&amp;"-"&amp;TEXT(MATCH(MID(C185,4,3),{"Jan","Feb","Mar","Apr","May","Jun","Jul","Aug","Sep","Oct","Nov","Dec"},0),"00")&amp;"-"&amp;LEFT(C185,2))),"OK","CHECK")</f>
        <v>OK</v>
      </c>
    </row>
    <row r="186" spans="1:21" x14ac:dyDescent="0.35">
      <c r="A186" t="s">
        <v>203</v>
      </c>
      <c r="B186">
        <v>1</v>
      </c>
      <c r="C186" t="s">
        <v>390</v>
      </c>
      <c r="D186" t="s">
        <v>477</v>
      </c>
      <c r="E186" t="s">
        <v>514</v>
      </c>
      <c r="F186" t="s">
        <v>514</v>
      </c>
      <c r="G186" t="s">
        <v>678</v>
      </c>
      <c r="H186" t="s">
        <v>678</v>
      </c>
      <c r="I186" t="s">
        <v>848</v>
      </c>
      <c r="J186" t="s">
        <v>848</v>
      </c>
      <c r="K186" t="s">
        <v>862</v>
      </c>
      <c r="L186" t="s">
        <v>862</v>
      </c>
      <c r="M186" t="s">
        <v>944</v>
      </c>
      <c r="N186" t="s">
        <v>944</v>
      </c>
      <c r="O186" t="s">
        <v>959</v>
      </c>
      <c r="P186" t="s">
        <v>959</v>
      </c>
      <c r="Q186" t="s">
        <v>962</v>
      </c>
      <c r="R186" t="s">
        <v>962</v>
      </c>
      <c r="S186" t="s">
        <v>965</v>
      </c>
      <c r="T186" t="str">
        <f t="shared" si="2"/>
        <v>OK</v>
      </c>
      <c r="U186" t="str">
        <f>IF(IF(MID(C186,5,1)="-", C186=D186, IF(OR(MID(C186,3,1)="/",MID(C186,3,1)="."), D186=MID(C186,7,4)&amp;"-"&amp;MID(C186,4,2)&amp;"-"&amp;LEFT(C186,2), D186=MID(C186,8,4)&amp;"-"&amp;TEXT(MATCH(MID(C186,4,3),{"Jan","Feb","Mar","Apr","May","Jun","Jul","Aug","Sep","Oct","Nov","Dec"},0),"00")&amp;"-"&amp;LEFT(C186,2))),"OK","CHECK")</f>
        <v>OK</v>
      </c>
    </row>
    <row r="187" spans="1:21" x14ac:dyDescent="0.35">
      <c r="A187" t="s">
        <v>204</v>
      </c>
      <c r="B187">
        <v>2</v>
      </c>
      <c r="C187" t="s">
        <v>391</v>
      </c>
      <c r="D187" t="s">
        <v>501</v>
      </c>
      <c r="E187" t="s">
        <v>512</v>
      </c>
      <c r="F187" t="s">
        <v>512</v>
      </c>
      <c r="G187" t="s">
        <v>679</v>
      </c>
      <c r="H187" t="s">
        <v>679</v>
      </c>
      <c r="I187" t="s">
        <v>849</v>
      </c>
      <c r="J187" t="s">
        <v>849</v>
      </c>
      <c r="K187" t="s">
        <v>860</v>
      </c>
      <c r="L187" t="s">
        <v>860</v>
      </c>
      <c r="M187" t="s">
        <v>939</v>
      </c>
      <c r="N187" t="s">
        <v>939</v>
      </c>
      <c r="O187" t="s">
        <v>959</v>
      </c>
      <c r="P187" t="s">
        <v>959</v>
      </c>
      <c r="Q187" t="s">
        <v>961</v>
      </c>
      <c r="R187" t="s">
        <v>961</v>
      </c>
      <c r="S187" t="s">
        <v>965</v>
      </c>
      <c r="T187" t="str">
        <f t="shared" si="2"/>
        <v>OK</v>
      </c>
      <c r="U187" t="str">
        <f>IF(IF(MID(C187,5,1)="-", C187=D187, IF(OR(MID(C187,3,1)="/",MID(C187,3,1)="."), D187=MID(C187,7,4)&amp;"-"&amp;MID(C187,4,2)&amp;"-"&amp;LEFT(C187,2), D187=MID(C187,8,4)&amp;"-"&amp;TEXT(MATCH(MID(C187,4,3),{"Jan","Feb","Mar","Apr","May","Jun","Jul","Aug","Sep","Oct","Nov","Dec"},0),"00")&amp;"-"&amp;LEFT(C187,2))),"OK","CHECK")</f>
        <v>OK</v>
      </c>
    </row>
    <row r="188" spans="1:21" x14ac:dyDescent="0.35">
      <c r="A188" t="s">
        <v>205</v>
      </c>
      <c r="B188">
        <v>1</v>
      </c>
      <c r="C188" t="s">
        <v>392</v>
      </c>
      <c r="D188" t="s">
        <v>502</v>
      </c>
      <c r="E188" t="s">
        <v>510</v>
      </c>
      <c r="F188" t="s">
        <v>510</v>
      </c>
      <c r="G188" t="s">
        <v>680</v>
      </c>
      <c r="H188" t="s">
        <v>680</v>
      </c>
      <c r="I188" t="s">
        <v>850</v>
      </c>
      <c r="J188" t="s">
        <v>850</v>
      </c>
      <c r="K188" t="s">
        <v>858</v>
      </c>
      <c r="L188" t="s">
        <v>858</v>
      </c>
      <c r="M188" t="s">
        <v>952</v>
      </c>
      <c r="N188" t="s">
        <v>952</v>
      </c>
      <c r="O188" t="s">
        <v>957</v>
      </c>
      <c r="P188" t="s">
        <v>957</v>
      </c>
      <c r="Q188" t="s">
        <v>963</v>
      </c>
      <c r="R188" t="s">
        <v>963</v>
      </c>
      <c r="S188" t="s">
        <v>965</v>
      </c>
      <c r="T188" t="str">
        <f t="shared" si="2"/>
        <v>OK</v>
      </c>
      <c r="U188" t="str">
        <f>IF(IF(MID(C188,5,1)="-", C188=D188, IF(OR(MID(C188,3,1)="/",MID(C188,3,1)="."), D188=MID(C188,7,4)&amp;"-"&amp;MID(C188,4,2)&amp;"-"&amp;LEFT(C188,2), D188=MID(C188,8,4)&amp;"-"&amp;TEXT(MATCH(MID(C188,4,3),{"Jan","Feb","Mar","Apr","May","Jun","Jul","Aug","Sep","Oct","Nov","Dec"},0),"00")&amp;"-"&amp;LEFT(C188,2))),"OK","CHECK")</f>
        <v>OK</v>
      </c>
    </row>
    <row r="189" spans="1:21" x14ac:dyDescent="0.35">
      <c r="A189" t="s">
        <v>206</v>
      </c>
      <c r="B189">
        <v>1</v>
      </c>
      <c r="C189" t="s">
        <v>393</v>
      </c>
      <c r="D189" t="s">
        <v>503</v>
      </c>
      <c r="E189" t="s">
        <v>513</v>
      </c>
      <c r="F189" t="s">
        <v>513</v>
      </c>
      <c r="G189" t="s">
        <v>681</v>
      </c>
      <c r="H189" t="s">
        <v>681</v>
      </c>
      <c r="I189" t="s">
        <v>851</v>
      </c>
      <c r="J189" t="s">
        <v>851</v>
      </c>
      <c r="K189" t="s">
        <v>861</v>
      </c>
      <c r="L189" t="s">
        <v>861</v>
      </c>
      <c r="M189" t="s">
        <v>953</v>
      </c>
      <c r="N189" t="s">
        <v>953</v>
      </c>
      <c r="O189" t="s">
        <v>956</v>
      </c>
      <c r="P189" t="s">
        <v>956</v>
      </c>
      <c r="Q189" t="s">
        <v>961</v>
      </c>
      <c r="R189" t="s">
        <v>961</v>
      </c>
      <c r="S189" t="s">
        <v>965</v>
      </c>
      <c r="T189" t="str">
        <f t="shared" si="2"/>
        <v>OK</v>
      </c>
      <c r="U189" t="str">
        <f>IF(IF(MID(C189,5,1)="-", C189=D189, IF(OR(MID(C189,3,1)="/",MID(C189,3,1)="."), D189=MID(C189,7,4)&amp;"-"&amp;MID(C189,4,2)&amp;"-"&amp;LEFT(C189,2), D189=MID(C189,8,4)&amp;"-"&amp;TEXT(MATCH(MID(C189,4,3),{"Jan","Feb","Mar","Apr","May","Jun","Jul","Aug","Sep","Oct","Nov","Dec"},0),"00")&amp;"-"&amp;LEFT(C189,2))),"OK","CHECK")</f>
        <v>OK</v>
      </c>
    </row>
    <row r="190" spans="1:21" x14ac:dyDescent="0.35">
      <c r="A190" t="s">
        <v>207</v>
      </c>
      <c r="B190">
        <v>1</v>
      </c>
      <c r="C190" t="s">
        <v>394</v>
      </c>
      <c r="D190" t="s">
        <v>504</v>
      </c>
      <c r="E190" t="s">
        <v>511</v>
      </c>
      <c r="F190" t="s">
        <v>511</v>
      </c>
      <c r="G190" t="s">
        <v>682</v>
      </c>
      <c r="H190" t="s">
        <v>682</v>
      </c>
      <c r="I190" t="s">
        <v>852</v>
      </c>
      <c r="J190" t="s">
        <v>852</v>
      </c>
      <c r="K190" t="s">
        <v>859</v>
      </c>
      <c r="L190" t="s">
        <v>859</v>
      </c>
      <c r="M190" t="s">
        <v>928</v>
      </c>
      <c r="N190" t="s">
        <v>928</v>
      </c>
      <c r="O190" t="s">
        <v>958</v>
      </c>
      <c r="P190" t="s">
        <v>958</v>
      </c>
      <c r="Q190" t="s">
        <v>962</v>
      </c>
      <c r="R190" t="s">
        <v>962</v>
      </c>
      <c r="S190" t="s">
        <v>965</v>
      </c>
      <c r="T190" t="str">
        <f t="shared" si="2"/>
        <v>OK</v>
      </c>
      <c r="U190" t="str">
        <f>IF(IF(MID(C190,5,1)="-", C190=D190, IF(OR(MID(C190,3,1)="/",MID(C190,3,1)="."), D190=MID(C190,7,4)&amp;"-"&amp;MID(C190,4,2)&amp;"-"&amp;LEFT(C190,2), D190=MID(C190,8,4)&amp;"-"&amp;TEXT(MATCH(MID(C190,4,3),{"Jan","Feb","Mar","Apr","May","Jun","Jul","Aug","Sep","Oct","Nov","Dec"},0),"00")&amp;"-"&amp;LEFT(C190,2))),"OK","CHECK")</f>
        <v>OK</v>
      </c>
    </row>
    <row r="191" spans="1:21" x14ac:dyDescent="0.35">
      <c r="A191" t="s">
        <v>208</v>
      </c>
      <c r="B191">
        <v>1</v>
      </c>
      <c r="C191" t="s">
        <v>314</v>
      </c>
      <c r="D191" t="s">
        <v>314</v>
      </c>
      <c r="E191" t="s">
        <v>514</v>
      </c>
      <c r="F191" t="s">
        <v>514</v>
      </c>
      <c r="G191" t="s">
        <v>683</v>
      </c>
      <c r="H191" t="s">
        <v>683</v>
      </c>
      <c r="I191" t="s">
        <v>826</v>
      </c>
      <c r="J191" t="s">
        <v>826</v>
      </c>
      <c r="K191" t="s">
        <v>862</v>
      </c>
      <c r="L191" t="s">
        <v>862</v>
      </c>
      <c r="M191" t="s">
        <v>939</v>
      </c>
      <c r="N191" t="s">
        <v>939</v>
      </c>
      <c r="O191" t="s">
        <v>960</v>
      </c>
      <c r="P191" t="s">
        <v>960</v>
      </c>
      <c r="Q191" t="s">
        <v>963</v>
      </c>
      <c r="R191" t="s">
        <v>963</v>
      </c>
      <c r="S191" t="s">
        <v>965</v>
      </c>
      <c r="T191" t="str">
        <f t="shared" si="2"/>
        <v>OK</v>
      </c>
      <c r="U191" t="str">
        <f>IF(IF(MID(C191,5,1)="-", C191=D191, IF(OR(MID(C191,3,1)="/",MID(C191,3,1)="."), D191=MID(C191,7,4)&amp;"-"&amp;MID(C191,4,2)&amp;"-"&amp;LEFT(C191,2), D191=MID(C191,8,4)&amp;"-"&amp;TEXT(MATCH(MID(C191,4,3),{"Jan","Feb","Mar","Apr","May","Jun","Jul","Aug","Sep","Oct","Nov","Dec"},0),"00")&amp;"-"&amp;LEFT(C191,2))),"OK","CHECK")</f>
        <v>OK</v>
      </c>
    </row>
    <row r="192" spans="1:21" x14ac:dyDescent="0.35">
      <c r="A192" t="s">
        <v>209</v>
      </c>
      <c r="B192">
        <v>1</v>
      </c>
      <c r="C192" t="s">
        <v>395</v>
      </c>
      <c r="D192" t="s">
        <v>451</v>
      </c>
      <c r="E192" t="s">
        <v>514</v>
      </c>
      <c r="F192" t="s">
        <v>514</v>
      </c>
      <c r="G192" t="s">
        <v>684</v>
      </c>
      <c r="H192" t="s">
        <v>684</v>
      </c>
      <c r="I192" t="s">
        <v>853</v>
      </c>
      <c r="J192" t="s">
        <v>853</v>
      </c>
      <c r="K192" t="s">
        <v>862</v>
      </c>
      <c r="L192" t="s">
        <v>862</v>
      </c>
      <c r="M192" t="s">
        <v>921</v>
      </c>
      <c r="N192" t="s">
        <v>921</v>
      </c>
      <c r="O192" t="s">
        <v>957</v>
      </c>
      <c r="P192" t="s">
        <v>957</v>
      </c>
      <c r="Q192" t="s">
        <v>963</v>
      </c>
      <c r="R192" t="s">
        <v>963</v>
      </c>
      <c r="S192" t="s">
        <v>965</v>
      </c>
      <c r="T192" t="str">
        <f t="shared" si="2"/>
        <v>OK</v>
      </c>
      <c r="U192" t="str">
        <f>IF(IF(MID(C192,5,1)="-", C192=D192, IF(OR(MID(C192,3,1)="/",MID(C192,3,1)="."), D192=MID(C192,7,4)&amp;"-"&amp;MID(C192,4,2)&amp;"-"&amp;LEFT(C192,2), D192=MID(C192,8,4)&amp;"-"&amp;TEXT(MATCH(MID(C192,4,3),{"Jan","Feb","Mar","Apr","May","Jun","Jul","Aug","Sep","Oct","Nov","Dec"},0),"00")&amp;"-"&amp;LEFT(C192,2))),"OK","CHECK")</f>
        <v>OK</v>
      </c>
    </row>
    <row r="193" spans="1:21" x14ac:dyDescent="0.35">
      <c r="A193" t="s">
        <v>210</v>
      </c>
      <c r="B193">
        <v>2</v>
      </c>
      <c r="C193" t="s">
        <v>396</v>
      </c>
      <c r="D193" t="s">
        <v>396</v>
      </c>
      <c r="E193" t="s">
        <v>514</v>
      </c>
      <c r="F193" t="s">
        <v>514</v>
      </c>
      <c r="G193" t="s">
        <v>685</v>
      </c>
      <c r="H193" t="s">
        <v>685</v>
      </c>
      <c r="I193" t="s">
        <v>854</v>
      </c>
      <c r="J193" t="s">
        <v>854</v>
      </c>
      <c r="K193" t="s">
        <v>862</v>
      </c>
      <c r="L193" t="s">
        <v>862</v>
      </c>
      <c r="M193" t="s">
        <v>896</v>
      </c>
      <c r="N193" t="s">
        <v>896</v>
      </c>
      <c r="O193" t="s">
        <v>958</v>
      </c>
      <c r="P193" t="s">
        <v>958</v>
      </c>
      <c r="Q193" t="s">
        <v>961</v>
      </c>
      <c r="R193" t="s">
        <v>961</v>
      </c>
      <c r="S193" t="s">
        <v>965</v>
      </c>
      <c r="T193" t="str">
        <f t="shared" si="2"/>
        <v>OK</v>
      </c>
      <c r="U193" t="str">
        <f>IF(IF(MID(C193,5,1)="-", C193=D193, IF(OR(MID(C193,3,1)="/",MID(C193,3,1)="."), D193=MID(C193,7,4)&amp;"-"&amp;MID(C193,4,2)&amp;"-"&amp;LEFT(C193,2), D193=MID(C193,8,4)&amp;"-"&amp;TEXT(MATCH(MID(C193,4,3),{"Jan","Feb","Mar","Apr","May","Jun","Jul","Aug","Sep","Oct","Nov","Dec"},0),"00")&amp;"-"&amp;LEFT(C193,2))),"OK","CHECK")</f>
        <v>OK</v>
      </c>
    </row>
    <row r="194" spans="1:21" x14ac:dyDescent="0.35">
      <c r="A194" t="s">
        <v>211</v>
      </c>
      <c r="B194">
        <v>1</v>
      </c>
      <c r="C194" t="s">
        <v>397</v>
      </c>
      <c r="D194" t="s">
        <v>505</v>
      </c>
      <c r="E194" t="s">
        <v>513</v>
      </c>
      <c r="F194" t="s">
        <v>513</v>
      </c>
      <c r="G194" t="s">
        <v>686</v>
      </c>
      <c r="H194" t="s">
        <v>686</v>
      </c>
      <c r="I194" t="s">
        <v>855</v>
      </c>
      <c r="J194" t="s">
        <v>855</v>
      </c>
      <c r="K194" t="s">
        <v>861</v>
      </c>
      <c r="L194" t="s">
        <v>861</v>
      </c>
      <c r="M194" t="s">
        <v>906</v>
      </c>
      <c r="N194" t="s">
        <v>906</v>
      </c>
      <c r="O194" t="s">
        <v>958</v>
      </c>
      <c r="P194" t="s">
        <v>958</v>
      </c>
      <c r="Q194" t="s">
        <v>962</v>
      </c>
      <c r="R194" t="s">
        <v>962</v>
      </c>
      <c r="S194" t="s">
        <v>965</v>
      </c>
      <c r="T194" t="str">
        <f t="shared" si="2"/>
        <v>OK</v>
      </c>
      <c r="U194" t="str">
        <f>IF(IF(MID(C194,5,1)="-", C194=D194, IF(OR(MID(C194,3,1)="/",MID(C194,3,1)="."), D194=MID(C194,7,4)&amp;"-"&amp;MID(C194,4,2)&amp;"-"&amp;LEFT(C194,2), D194=MID(C194,8,4)&amp;"-"&amp;TEXT(MATCH(MID(C194,4,3),{"Jan","Feb","Mar","Apr","May","Jun","Jul","Aug","Sep","Oct","Nov","Dec"},0),"00")&amp;"-"&amp;LEFT(C194,2))),"OK","CHECK")</f>
        <v>OK</v>
      </c>
    </row>
    <row r="195" spans="1:21" x14ac:dyDescent="0.35">
      <c r="A195" t="s">
        <v>212</v>
      </c>
      <c r="B195">
        <v>1</v>
      </c>
      <c r="C195" t="s">
        <v>344</v>
      </c>
      <c r="D195" t="s">
        <v>473</v>
      </c>
      <c r="E195" t="s">
        <v>511</v>
      </c>
      <c r="F195" t="s">
        <v>511</v>
      </c>
      <c r="G195" t="s">
        <v>687</v>
      </c>
      <c r="H195" t="s">
        <v>687</v>
      </c>
      <c r="I195" t="s">
        <v>824</v>
      </c>
      <c r="J195" t="s">
        <v>824</v>
      </c>
      <c r="K195" t="s">
        <v>859</v>
      </c>
      <c r="L195" t="s">
        <v>859</v>
      </c>
      <c r="M195" t="s">
        <v>925</v>
      </c>
      <c r="N195" t="s">
        <v>925</v>
      </c>
      <c r="O195" t="s">
        <v>959</v>
      </c>
      <c r="P195" t="s">
        <v>959</v>
      </c>
      <c r="Q195" t="s">
        <v>964</v>
      </c>
      <c r="R195" t="s">
        <v>964</v>
      </c>
      <c r="S195" t="s">
        <v>965</v>
      </c>
      <c r="T195" t="str">
        <f t="shared" ref="T195:T201" si="3">IF(AND(E195=F195, G195=H195, Q195=R195, IF(I195="", AND(J195="", S195="1"), AND(I195=J195, S195="0")), IF(K195="", L195&lt;&gt;"", K195=L195), IF(M195="", N195="Unknown", M195=N195), IF(O195="", P195="Unknown", O195=P195)), "OK", "CHECK")</f>
        <v>OK</v>
      </c>
      <c r="U195" t="str">
        <f>IF(IF(MID(C195,5,1)="-", C195=D195, IF(OR(MID(C195,3,1)="/",MID(C195,3,1)="."), D195=MID(C195,7,4)&amp;"-"&amp;MID(C195,4,2)&amp;"-"&amp;LEFT(C195,2), D195=MID(C195,8,4)&amp;"-"&amp;TEXT(MATCH(MID(C195,4,3),{"Jan","Feb","Mar","Apr","May","Jun","Jul","Aug","Sep","Oct","Nov","Dec"},0),"00")&amp;"-"&amp;LEFT(C195,2))),"OK","CHECK")</f>
        <v>OK</v>
      </c>
    </row>
    <row r="196" spans="1:21" x14ac:dyDescent="0.35">
      <c r="A196" t="s">
        <v>213</v>
      </c>
      <c r="B196">
        <v>2</v>
      </c>
      <c r="C196" t="s">
        <v>398</v>
      </c>
      <c r="D196" t="s">
        <v>506</v>
      </c>
      <c r="E196" t="s">
        <v>510</v>
      </c>
      <c r="F196" t="s">
        <v>510</v>
      </c>
      <c r="G196" t="s">
        <v>688</v>
      </c>
      <c r="H196" t="s">
        <v>688</v>
      </c>
      <c r="I196" t="s">
        <v>830</v>
      </c>
      <c r="J196" t="s">
        <v>830</v>
      </c>
      <c r="K196" t="s">
        <v>858</v>
      </c>
      <c r="L196" t="s">
        <v>858</v>
      </c>
      <c r="M196" t="s">
        <v>916</v>
      </c>
      <c r="N196" t="s">
        <v>916</v>
      </c>
      <c r="O196" t="s">
        <v>958</v>
      </c>
      <c r="P196" t="s">
        <v>958</v>
      </c>
      <c r="Q196" t="s">
        <v>962</v>
      </c>
      <c r="R196" t="s">
        <v>962</v>
      </c>
      <c r="S196" t="s">
        <v>965</v>
      </c>
      <c r="T196" t="str">
        <f t="shared" si="3"/>
        <v>OK</v>
      </c>
      <c r="U196" t="str">
        <f>IF(IF(MID(C196,5,1)="-", C196=D196, IF(OR(MID(C196,3,1)="/",MID(C196,3,1)="."), D196=MID(C196,7,4)&amp;"-"&amp;MID(C196,4,2)&amp;"-"&amp;LEFT(C196,2), D196=MID(C196,8,4)&amp;"-"&amp;TEXT(MATCH(MID(C196,4,3),{"Jan","Feb","Mar","Apr","May","Jun","Jul","Aug","Sep","Oct","Nov","Dec"},0),"00")&amp;"-"&amp;LEFT(C196,2))),"OK","CHECK")</f>
        <v>OK</v>
      </c>
    </row>
    <row r="197" spans="1:21" x14ac:dyDescent="0.35">
      <c r="A197" t="s">
        <v>214</v>
      </c>
      <c r="B197">
        <v>1</v>
      </c>
      <c r="C197" t="s">
        <v>399</v>
      </c>
      <c r="D197" t="s">
        <v>507</v>
      </c>
      <c r="E197" t="s">
        <v>509</v>
      </c>
      <c r="F197" t="s">
        <v>509</v>
      </c>
      <c r="G197" t="s">
        <v>532</v>
      </c>
      <c r="H197" t="s">
        <v>532</v>
      </c>
      <c r="I197" t="s">
        <v>800</v>
      </c>
      <c r="J197" t="s">
        <v>800</v>
      </c>
      <c r="K197" t="s">
        <v>857</v>
      </c>
      <c r="L197" t="s">
        <v>857</v>
      </c>
      <c r="M197" t="s">
        <v>880</v>
      </c>
      <c r="N197" t="s">
        <v>880</v>
      </c>
      <c r="O197" t="s">
        <v>960</v>
      </c>
      <c r="P197" t="s">
        <v>960</v>
      </c>
      <c r="Q197" t="s">
        <v>964</v>
      </c>
      <c r="R197" t="s">
        <v>964</v>
      </c>
      <c r="S197" t="s">
        <v>965</v>
      </c>
      <c r="T197" t="str">
        <f t="shared" si="3"/>
        <v>OK</v>
      </c>
      <c r="U197" t="str">
        <f>IF(IF(MID(C197,5,1)="-", C197=D197, IF(OR(MID(C197,3,1)="/",MID(C197,3,1)="."), D197=MID(C197,7,4)&amp;"-"&amp;MID(C197,4,2)&amp;"-"&amp;LEFT(C197,2), D197=MID(C197,8,4)&amp;"-"&amp;TEXT(MATCH(MID(C197,4,3),{"Jan","Feb","Mar","Apr","May","Jun","Jul","Aug","Sep","Oct","Nov","Dec"},0),"00")&amp;"-"&amp;LEFT(C197,2))),"OK","CHECK")</f>
        <v>OK</v>
      </c>
    </row>
    <row r="198" spans="1:21" x14ac:dyDescent="0.35">
      <c r="A198" t="s">
        <v>215</v>
      </c>
      <c r="B198">
        <v>1</v>
      </c>
      <c r="C198" t="s">
        <v>400</v>
      </c>
      <c r="D198" t="s">
        <v>400</v>
      </c>
      <c r="E198" t="s">
        <v>514</v>
      </c>
      <c r="F198" t="s">
        <v>514</v>
      </c>
      <c r="G198" t="s">
        <v>689</v>
      </c>
      <c r="H198" t="s">
        <v>689</v>
      </c>
      <c r="I198" t="s">
        <v>793</v>
      </c>
      <c r="J198" t="s">
        <v>793</v>
      </c>
      <c r="K198" t="s">
        <v>862</v>
      </c>
      <c r="L198" t="s">
        <v>862</v>
      </c>
      <c r="M198" t="s">
        <v>946</v>
      </c>
      <c r="N198" t="s">
        <v>946</v>
      </c>
      <c r="O198" t="s">
        <v>959</v>
      </c>
      <c r="P198" t="s">
        <v>959</v>
      </c>
      <c r="Q198" t="s">
        <v>961</v>
      </c>
      <c r="R198" t="s">
        <v>961</v>
      </c>
      <c r="S198" t="s">
        <v>965</v>
      </c>
      <c r="T198" t="str">
        <f t="shared" si="3"/>
        <v>OK</v>
      </c>
      <c r="U198" t="str">
        <f>IF(IF(MID(C198,5,1)="-", C198=D198, IF(OR(MID(C198,3,1)="/",MID(C198,3,1)="."), D198=MID(C198,7,4)&amp;"-"&amp;MID(C198,4,2)&amp;"-"&amp;LEFT(C198,2), D198=MID(C198,8,4)&amp;"-"&amp;TEXT(MATCH(MID(C198,4,3),{"Jan","Feb","Mar","Apr","May","Jun","Jul","Aug","Sep","Oct","Nov","Dec"},0),"00")&amp;"-"&amp;LEFT(C198,2))),"OK","CHECK")</f>
        <v>OK</v>
      </c>
    </row>
    <row r="199" spans="1:21" x14ac:dyDescent="0.35">
      <c r="A199" t="s">
        <v>216</v>
      </c>
      <c r="B199">
        <v>1</v>
      </c>
      <c r="C199" t="s">
        <v>401</v>
      </c>
      <c r="D199" t="s">
        <v>508</v>
      </c>
      <c r="E199" t="s">
        <v>509</v>
      </c>
      <c r="F199" t="s">
        <v>509</v>
      </c>
      <c r="G199" t="s">
        <v>690</v>
      </c>
      <c r="H199" t="s">
        <v>690</v>
      </c>
      <c r="I199" t="s">
        <v>707</v>
      </c>
      <c r="J199" t="s">
        <v>707</v>
      </c>
      <c r="K199" t="s">
        <v>857</v>
      </c>
      <c r="L199" t="s">
        <v>857</v>
      </c>
      <c r="M199" t="s">
        <v>893</v>
      </c>
      <c r="N199" t="s">
        <v>893</v>
      </c>
      <c r="O199" t="s">
        <v>958</v>
      </c>
      <c r="P199" t="s">
        <v>958</v>
      </c>
      <c r="Q199" t="s">
        <v>961</v>
      </c>
      <c r="R199" t="s">
        <v>961</v>
      </c>
      <c r="S199" t="s">
        <v>965</v>
      </c>
      <c r="T199" t="str">
        <f t="shared" si="3"/>
        <v>OK</v>
      </c>
      <c r="U199" t="str">
        <f>IF(IF(MID(C199,5,1)="-", C199=D199, IF(OR(MID(C199,3,1)="/",MID(C199,3,1)="."), D199=MID(C199,7,4)&amp;"-"&amp;MID(C199,4,2)&amp;"-"&amp;LEFT(C199,2), D199=MID(C199,8,4)&amp;"-"&amp;TEXT(MATCH(MID(C199,4,3),{"Jan","Feb","Mar","Apr","May","Jun","Jul","Aug","Sep","Oct","Nov","Dec"},0),"00")&amp;"-"&amp;LEFT(C199,2))),"OK","CHECK")</f>
        <v>OK</v>
      </c>
    </row>
    <row r="200" spans="1:21" x14ac:dyDescent="0.35">
      <c r="A200" t="s">
        <v>217</v>
      </c>
      <c r="B200">
        <v>2</v>
      </c>
      <c r="C200" t="s">
        <v>402</v>
      </c>
      <c r="D200" t="s">
        <v>402</v>
      </c>
      <c r="E200" t="s">
        <v>509</v>
      </c>
      <c r="F200" t="s">
        <v>509</v>
      </c>
      <c r="G200" t="s">
        <v>691</v>
      </c>
      <c r="H200" t="s">
        <v>691</v>
      </c>
      <c r="I200" t="s">
        <v>856</v>
      </c>
      <c r="J200" t="s">
        <v>856</v>
      </c>
      <c r="K200" t="s">
        <v>857</v>
      </c>
      <c r="L200" t="s">
        <v>857</v>
      </c>
      <c r="M200" t="s">
        <v>892</v>
      </c>
      <c r="N200" t="s">
        <v>892</v>
      </c>
      <c r="O200" t="s">
        <v>957</v>
      </c>
      <c r="P200" t="s">
        <v>957</v>
      </c>
      <c r="Q200" t="s">
        <v>961</v>
      </c>
      <c r="R200" t="s">
        <v>961</v>
      </c>
      <c r="S200" t="s">
        <v>965</v>
      </c>
      <c r="T200" t="str">
        <f t="shared" si="3"/>
        <v>OK</v>
      </c>
      <c r="U200" t="str">
        <f>IF(IF(MID(C200,5,1)="-", C200=D200, IF(OR(MID(C200,3,1)="/",MID(C200,3,1)="."), D200=MID(C200,7,4)&amp;"-"&amp;MID(C200,4,2)&amp;"-"&amp;LEFT(C200,2), D200=MID(C200,8,4)&amp;"-"&amp;TEXT(MATCH(MID(C200,4,3),{"Jan","Feb","Mar","Apr","May","Jun","Jul","Aug","Sep","Oct","Nov","Dec"},0),"00")&amp;"-"&amp;LEFT(C200,2))),"OK","CHECK")</f>
        <v>OK</v>
      </c>
    </row>
    <row r="201" spans="1:21" x14ac:dyDescent="0.35">
      <c r="A201" t="s">
        <v>218</v>
      </c>
      <c r="B201">
        <v>1</v>
      </c>
      <c r="C201" t="s">
        <v>296</v>
      </c>
      <c r="D201" t="s">
        <v>446</v>
      </c>
      <c r="E201" t="s">
        <v>510</v>
      </c>
      <c r="F201" t="s">
        <v>510</v>
      </c>
      <c r="G201" t="s">
        <v>692</v>
      </c>
      <c r="H201" t="s">
        <v>692</v>
      </c>
      <c r="I201" t="s">
        <v>763</v>
      </c>
      <c r="J201" t="s">
        <v>763</v>
      </c>
      <c r="K201" t="s">
        <v>858</v>
      </c>
      <c r="L201" t="s">
        <v>858</v>
      </c>
      <c r="M201" t="s">
        <v>954</v>
      </c>
      <c r="N201" t="s">
        <v>954</v>
      </c>
      <c r="O201" t="s">
        <v>958</v>
      </c>
      <c r="P201" t="s">
        <v>958</v>
      </c>
      <c r="Q201" t="s">
        <v>962</v>
      </c>
      <c r="R201" t="s">
        <v>962</v>
      </c>
      <c r="S201" t="s">
        <v>965</v>
      </c>
      <c r="T201" t="str">
        <f t="shared" si="3"/>
        <v>OK</v>
      </c>
      <c r="U201" t="str">
        <f>IF(IF(MID(C201,5,1)="-", C201=D201, IF(OR(MID(C201,3,1)="/",MID(C201,3,1)="."), D201=MID(C201,7,4)&amp;"-"&amp;MID(C201,4,2)&amp;"-"&amp;LEFT(C201,2), D201=MID(C201,8,4)&amp;"-"&amp;TEXT(MATCH(MID(C201,4,3),{"Jan","Feb","Mar","Apr","May","Jun","Jul","Aug","Sep","Oct","Nov","Dec"},0),"00")&amp;"-"&amp;LEFT(C201,2))),"OK","CHECK")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Afia Parveen Prova</cp:lastModifiedBy>
  <dcterms:created xsi:type="dcterms:W3CDTF">2026-10-24T10:22:44Z</dcterms:created>
  <dcterms:modified xsi:type="dcterms:W3CDTF">2026-10-24T11:25:37Z</dcterms:modified>
</cp:coreProperties>
</file>